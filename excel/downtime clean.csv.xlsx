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ri\OneDrive\Tài liệu\vinsup\final project\excel\"/>
    </mc:Choice>
  </mc:AlternateContent>
  <xr:revisionPtr revIDLastSave="0" documentId="8_{79DA0DCD-F620-4FBB-889A-ABF155FCCEB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oductivity clean" sheetId="11" r:id="rId1"/>
    <sheet name="downtime clean" sheetId="14" r:id="rId2"/>
    <sheet name="Factors clean" sheetId="16" r:id="rId3"/>
    <sheet name="products clean" sheetId="17" r:id="rId4"/>
    <sheet name="Metadata clean" sheetId="5" r:id="rId5"/>
    <sheet name="Pivot_Analysis" sheetId="9" r:id="rId6"/>
  </sheets>
  <definedNames>
    <definedName name="ExternalData_1" localSheetId="1" hidden="1">'downtime clean'!$A$1:$L$39</definedName>
    <definedName name="ExternalData_1" localSheetId="4" hidden="1">'Metadata clean'!$A$1:$C$21</definedName>
    <definedName name="ExternalData_1" localSheetId="0" hidden="1">'productivity clean'!$A$1:$F$32</definedName>
    <definedName name="ExternalData_2" localSheetId="2" hidden="1">'Factors clean'!$A$1:$C$13</definedName>
    <definedName name="ExternalData_3" localSheetId="3" hidden="1">'products clean'!$A$1:$D$6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K3" i="11" a="1"/>
  <c r="K4" i="11" a="1"/>
  <c r="K5" i="11" a="1"/>
  <c r="K6" i="11" a="1"/>
  <c r="K7" i="11" a="1"/>
  <c r="K8" i="11" a="1"/>
  <c r="K9" i="11" a="1"/>
  <c r="K10" i="11" a="1"/>
  <c r="K11" i="11" a="1"/>
  <c r="K12" i="11" a="1"/>
  <c r="K13" i="11" a="1"/>
  <c r="K14" i="11" a="1"/>
  <c r="K15" i="11" a="1"/>
  <c r="K16" i="11" a="1"/>
  <c r="K17" i="11" a="1"/>
  <c r="K18" i="11" a="1"/>
  <c r="K19" i="11" a="1"/>
  <c r="K20" i="11" a="1"/>
  <c r="K21" i="11" a="1"/>
  <c r="K22" i="11" a="1"/>
  <c r="K23" i="11" a="1"/>
  <c r="K24" i="11" a="1"/>
  <c r="K25" i="11" a="1"/>
  <c r="K26" i="11" a="1"/>
  <c r="K27" i="11" a="1"/>
  <c r="K28" i="11" a="1"/>
  <c r="K29" i="11" a="1"/>
  <c r="K30" i="11" a="1"/>
  <c r="K31" i="11" a="1"/>
  <c r="K32" i="11" a="1"/>
  <c r="K2" i="11" a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2" i="14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L3" i="11" l="1"/>
  <c r="L28" i="11"/>
  <c r="L29" i="11"/>
  <c r="L30" i="11"/>
  <c r="L32" i="11"/>
  <c r="L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31" i="11"/>
  <c r="L4" i="11"/>
  <c r="L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0F7ED-D197-4B18-9C39-A848E8A36C86}" keepAlive="1" name="Query - Dowmtime clean" description="Connection to the 'Dowmtime clean' query in the workbook." type="5" refreshedVersion="8" background="1" saveData="1">
    <dbPr connection="Provider=Microsoft.Mashup.OleDb.1;Data Source=$Workbook$;Location=&quot;Dowmtime clean&quot;;Extended Properties=&quot;&quot;" command="SELECT * FROM [Dowmtime clean]"/>
  </connection>
  <connection id="2" xr16:uid="{E56D005C-AF1F-4EEB-94D9-14BBE430578D}" keepAlive="1" name="Query - downtime-factors" description="Connection to the 'downtime-factors' query in the workbook." type="5" refreshedVersion="0" background="1">
    <dbPr connection="Provider=Microsoft.Mashup.OleDb.1;Data Source=$Workbook$;Location=downtime-factors;Extended Properties=&quot;&quot;" command="SELECT * FROM [downtime-factors]"/>
  </connection>
  <connection id="3" xr16:uid="{DED7B9BE-9317-4EAC-B967-2B93594DDD91}" keepAlive="1" name="Query - downtime-factors (2)" description="Connection to the 'downtime-factors (2)' query in the workbook." type="5" refreshedVersion="8" background="1" saveData="1">
    <dbPr connection="Provider=Microsoft.Mashup.OleDb.1;Data Source=$Workbook$;Location=&quot;downtime-factors (2)&quot;;Extended Properties=&quot;&quot;" command="SELECT * FROM [downtime-factors (2)]"/>
  </connection>
  <connection id="4" xr16:uid="{C6C7F79F-205C-4E56-82A4-24BA9A003B09}" keepAlive="1" name="Query - downtime-factors (3)" description="Connection to the 'downtime-factors (3)' query in the workbook." type="5" refreshedVersion="0" background="1">
    <dbPr connection="Provider=Microsoft.Mashup.OleDb.1;Data Source=$Workbook$;Location=&quot;downtime-factors (3)&quot;;Extended Properties=&quot;&quot;" command="SELECT * FROM [downtime-factors (3)]"/>
  </connection>
  <connection id="5" xr16:uid="{8C5C4064-52F6-4854-86B8-A91CFBF296AA}" keepAlive="1" name="Query - line-downtime" description="Connection to the 'line-downtime' query in the workbook." type="5" refreshedVersion="8" background="1" saveData="1">
    <dbPr connection="Provider=Microsoft.Mashup.OleDb.1;Data Source=$Workbook$;Location=line-downtime;Extended Properties=&quot;&quot;" command="SELECT * FROM [line-downtime]"/>
  </connection>
  <connection id="6" xr16:uid="{C3A0C5D0-9FBD-4773-905C-201755ECCF3D}" keepAlive="1" name="Query - line-downtime (2)" description="Connection to the 'line-downtime (2)' query in the workbook." type="5" refreshedVersion="0" background="1">
    <dbPr connection="Provider=Microsoft.Mashup.OleDb.1;Data Source=$Workbook$;Location=&quot;line-downtime (2)&quot;;Extended Properties=&quot;&quot;" command="SELECT * FROM [line-downtime (2)]"/>
  </connection>
  <connection id="7" xr16:uid="{F1C8AA78-2B2C-4886-B6DD-93A673CB1789}" keepAlive="1" name="Query - line-productivity" description="Connection to the 'line-productivity' query in the workbook." type="5" refreshedVersion="8" background="1" saveData="1">
    <dbPr connection="Provider=Microsoft.Mashup.OleDb.1;Data Source=$Workbook$;Location=line-productivity;Extended Properties=&quot;&quot;" command="SELECT * FROM [line-productivity]"/>
  </connection>
  <connection id="8" xr16:uid="{41DBC8AC-6541-4D9F-8FCC-35B06BFD520E}" keepAlive="1" name="Query - line-productivity (2)" description="Connection to the 'line-productivity (2)' query in the workbook." type="5" refreshedVersion="0" background="1">
    <dbPr connection="Provider=Microsoft.Mashup.OleDb.1;Data Source=$Workbook$;Location=&quot;line-productivity (2)&quot;;Extended Properties=&quot;&quot;" command="SELECT * FROM [line-productivity (2)]"/>
  </connection>
  <connection id="9" xr16:uid="{AD54E98B-4447-4956-90C3-00BF39FF0523}" keepAlive="1" name="Query - line-productivity (3)" description="Connection to the 'line-productivity (3)' query in the workbook." type="5" refreshedVersion="0" background="1">
    <dbPr connection="Provider=Microsoft.Mashup.OleDb.1;Data Source=$Workbook$;Location=&quot;line-productivity (3)&quot;;Extended Properties=&quot;&quot;" command="SELECT * FROM [line-productivity (3)]"/>
  </connection>
  <connection id="10" xr16:uid="{30026ECD-CFEA-4464-8365-923E91CFD99F}" keepAlive="1" name="Query - metadata" description="Connection to the 'metadata' query in the workbook." type="5" refreshedVersion="0" background="1">
    <dbPr connection="Provider=Microsoft.Mashup.OleDb.1;Data Source=$Workbook$;Location=metadata;Extended Properties=&quot;&quot;" command="SELECT * FROM [metadata]"/>
  </connection>
  <connection id="11" xr16:uid="{C3602DF0-7F60-4BD0-882F-161D3BA1624C}" keepAlive="1" name="Query - metadata (2)" description="Connection to the 'metadata (2)' query in the workbook." type="5" refreshedVersion="8" background="1" saveData="1">
    <dbPr connection="Provider=Microsoft.Mashup.OleDb.1;Data Source=$Workbook$;Location=&quot;metadata (2)&quot;;Extended Properties=&quot;&quot;" command="SELECT * FROM [metadata (2)]"/>
  </connection>
  <connection id="12" xr16:uid="{38E96D43-8E55-42F6-BCDD-B10CFB50E4E4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3" xr16:uid="{D4B2C5E6-A9D4-4276-B92C-05ADF140AF42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<sst xmlns="http://schemas.openxmlformats.org/spreadsheetml/2006/main" count="277" uniqueCount="163">
  <si>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</si>
  <si>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</si>
  <si>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</si>
  <si>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</si>
  <si>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</si>
  <si>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</si>
  <si>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</si>
  <si>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</si>
  <si>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14:05:00</t>
  </si>
  <si>
    <t>LE-600</t>
  </si>
  <si>
    <t>15:45:00</t>
  </si>
  <si>
    <t>17:35:00</t>
  </si>
  <si>
    <t>19:15:00</t>
  </si>
  <si>
    <t>Charlie</t>
  </si>
  <si>
    <t>20:39:00</t>
  </si>
  <si>
    <t>21:39:00</t>
  </si>
  <si>
    <t>22:54:00</t>
  </si>
  <si>
    <t>CO-600</t>
  </si>
  <si>
    <t>Dee</t>
  </si>
  <si>
    <t>06:05:00</t>
  </si>
  <si>
    <t>07:30:00</t>
  </si>
  <si>
    <t>09:22:00</t>
  </si>
  <si>
    <t>Dennis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</si>
  <si>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</si>
  <si>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</si>
  <si>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</si>
  <si>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</si>
  <si>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</si>
  <si>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</si>
  <si>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</si>
  <si>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</si>
  <si>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23:29:00</t>
  </si>
  <si>
    <t>09:05:00</t>
  </si>
  <si>
    <t>10:35:00</t>
  </si>
  <si>
    <t>11:35:00</t>
  </si>
  <si>
    <t>DC-600</t>
  </si>
  <si>
    <t>12:55:00</t>
  </si>
  <si>
    <t>14:45:00</t>
  </si>
  <si>
    <t>16:30:00</t>
  </si>
  <si>
    <t>17:30:00</t>
  </si>
  <si>
    <t>CO-2L</t>
  </si>
  <si>
    <t>14:50:00</t>
  </si>
  <si>
    <t>16:50:00</t>
  </si>
  <si>
    <t>19:30:00</t>
  </si>
  <si>
    <t>22:55:00</t>
  </si>
  <si>
    <t>1900-01-01 01:05:00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</si>
  <si>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</si>
  <si>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</si>
  <si>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</si>
  <si>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</si>
  <si>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</si>
  <si>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</si>
  <si>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</si>
  <si>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</si>
  <si>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</si>
  <si>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</si>
  <si>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</si>
  <si>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</si>
  <si>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</si>
  <si>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</si>
  <si>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</si>
  <si>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</si>
  <si>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</si>
  <si>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</si>
  <si>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</si>
  <si>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</si>
  <si>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</si>
  <si>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</si>
  <si>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</si>
  <si>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</si>
  <si>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</si>
  <si>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</si>
  <si>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</si>
  <si>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</si>
  <si>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</si>
  <si>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</si>
  <si>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</si>
  <si>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</si>
  <si>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</si>
  <si>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</si>
  <si>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</si>
  <si>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</si>
  <si>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</si>
  <si>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</si>
  <si>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</si>
  <si>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</si>
  <si>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</si>
  <si>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</si>
  <si>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</si>
  <si>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</si>
  <si>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</si>
  <si>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</si>
  <si>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</si>
  <si>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</si>
  <si>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</si>
  <si>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</si>
  <si>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Column1</t>
  </si>
  <si>
    <t>Column2</t>
  </si>
  <si>
    <t>Column3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</si>
  <si>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</si>
  <si>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</si>
  <si>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</si>
  <si>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</si>
  <si>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</si>
  <si>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</si>
  <si>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</si>
  <si>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</si>
  <si>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</si>
  <si>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</si>
  <si>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</si>
  <si>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</si>
  <si>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</si>
  <si>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</si>
  <si>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</si>
  <si>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</si>
  <si>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</si>
  <si>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</si>
  <si>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</si>
  <si>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</si>
  <si>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</si>
  <si>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</si>
  <si>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</si>
  <si>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</si>
  <si>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</si>
  <si>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2 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</si>
  <si>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</si>
  <si>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</si>
  <si>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</si>
  <si>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</si>
  <si>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</si>
  <si>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</si>
  <si>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</si>
  <si>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</si>
  <si>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</si>
  <si>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</si>
  <si>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</si>
  <si>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</si>
  <si>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</si>
  <si>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</si>
  <si>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</si>
  <si>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</si>
  <si>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</si>
  <si>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</si>
  <si>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</si>
  <si>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</si>
  <si>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</si>
  <si>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</si>
  <si>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</si>
  <si>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</si>
  <si>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</si>
  <si>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Production Duration</t>
  </si>
  <si>
    <t>Min Batch Time</t>
  </si>
  <si>
    <t>Total Downtime (Minutes)</t>
  </si>
  <si>
    <t>total downtime</t>
  </si>
  <si>
    <t>Excess Time</t>
  </si>
  <si>
    <t>Production Efficiency (%)</t>
  </si>
  <si>
    <t>Shifts</t>
  </si>
  <si>
    <t>Row Labels</t>
  </si>
  <si>
    <t>Grand Total</t>
  </si>
  <si>
    <t>Count of Batch</t>
  </si>
  <si>
    <t>Sum of Production Duration</t>
  </si>
  <si>
    <t>Sum of Total Downtime (Minutes)</t>
  </si>
  <si>
    <t>Average of Production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</si>
</sst>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SHITHA SHIRIN K" refreshedDate="46295.565973726851" createdVersion="8" refreshedVersion="8" minRefreshableVersion="3" recordCount="31" xr:uid="{747F4880-21FB-4716-B368-69791D35840E}">
  <cacheSource type="worksheet">
    <worksheetSource name="line_productivity"/>
  </cacheSource>
  <cacheFields count="14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4">
      <sharedItems containsSemiMixedTypes="0" containsNonDate="0" containsDate="1" containsString="0" minDate="1899-12-30T04:05:00" maxDate="1899-12-30T22:55:00"/>
    </cacheField>
    <cacheField name="End Time" numFmtId="164">
      <sharedItems/>
    </cacheField>
    <cacheField name="Production Duration" numFmtId="0">
      <sharedItems containsSemiMixedTypes="0" containsString="0" containsNumber="1" minValue="59.999999999999943" maxValue="205.00000000000006"/>
    </cacheField>
    <cacheField name="Flavor" numFmtId="0">
      <sharedItems/>
    </cacheField>
    <cacheField name="Size" numFmtId="0">
      <sharedItems/>
    </cacheField>
    <cacheField name="Min Batch Time" numFmtId="0">
      <sharedItems containsSemiMixedTypes="0" containsString="0" containsNumber="1" containsInteger="1" minValue="60" maxValue="98"/>
    </cacheField>
    <cacheField name="Total Downtime (Minutes)" numFmtId="0">
      <sharedItems containsSemiMixedTypes="0" containsString="0" containsNumber="1" containsInteger="1" minValue="0" maxValue="107"/>
    </cacheField>
    <cacheField name="Excess Time" numFmtId="0">
      <sharedItems containsSemiMixedTypes="0" containsString="0" containsNumber="1" containsInteger="1" minValue="0" maxValue="0"/>
    </cacheField>
    <cacheField name="Production Efficiency (%)" numFmtId="0">
      <sharedItems containsSemiMixedTypes="0" containsString="0" containsNumber="1" minValue="44.44" maxValue="100"/>
    </cacheField>
    <cacheField name="Shif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29T00:00:00"/>
    <s v="OR-600"/>
    <n v="422111"/>
    <x v="0"/>
    <d v="1899-12-30T11:50:00"/>
    <s v="14:05:00"/>
    <n v="135"/>
    <s v="Orange"/>
    <s v="600 ml"/>
    <n v="60"/>
    <n v="75"/>
    <n v="0"/>
    <n v="44.44"/>
    <s v="Morning Shift"/>
  </r>
  <r>
    <d v="2024-08-29T00:00:00"/>
    <s v="LE-600"/>
    <n v="422112"/>
    <x v="0"/>
    <d v="1899-12-30T14:05:00"/>
    <s v="15:45:00"/>
    <n v="99.999999999999972"/>
    <s v="Lemon lime"/>
    <s v="600 ml"/>
    <n v="60"/>
    <n v="40"/>
    <n v="0"/>
    <n v="60"/>
    <s v="Morning Shift"/>
  </r>
  <r>
    <d v="2024-08-29T00:00:00"/>
    <s v="LE-600"/>
    <n v="422113"/>
    <x v="0"/>
    <d v="1899-12-30T15:45:00"/>
    <s v="17:35:00"/>
    <n v="109.99999999999993"/>
    <s v="Lemon lime"/>
    <s v="600 ml"/>
    <n v="60"/>
    <n v="50"/>
    <n v="0"/>
    <n v="54.55"/>
    <s v="Morning Shift"/>
  </r>
  <r>
    <d v="2024-08-29T00:00:00"/>
    <s v="LE-600"/>
    <n v="422114"/>
    <x v="0"/>
    <d v="1899-12-30T17:35:00"/>
    <s v="19:15:00"/>
    <n v="100.00000000000013"/>
    <s v="Lemon lime"/>
    <s v="600 ml"/>
    <n v="60"/>
    <n v="40"/>
    <n v="0"/>
    <n v="60"/>
    <s v="Evening Shift"/>
  </r>
  <r>
    <d v="2024-08-29T00:00:00"/>
    <s v="LE-600"/>
    <n v="422115"/>
    <x v="1"/>
    <d v="1899-12-30T19:15:00"/>
    <s v="20:39:00"/>
    <n v="84.000000000000028"/>
    <s v="Lemon lime"/>
    <s v="600 ml"/>
    <n v="60"/>
    <n v="24"/>
    <n v="0"/>
    <n v="71.430000000000007"/>
    <s v="Evening Shift"/>
  </r>
  <r>
    <d v="2024-08-29T00:00:00"/>
    <s v="LE-600"/>
    <n v="422116"/>
    <x v="1"/>
    <d v="1899-12-30T20:39:00"/>
    <s v="21:39:00"/>
    <n v="59.999999999999943"/>
    <s v="Lemon lime"/>
    <s v="600 ml"/>
    <n v="60"/>
    <n v="0"/>
    <n v="0"/>
    <n v="100"/>
    <s v="Evening Shift"/>
  </r>
  <r>
    <d v="2024-08-29T00:00:00"/>
    <s v="LE-600"/>
    <n v="422117"/>
    <x v="1"/>
    <d v="1899-12-30T21:39:00"/>
    <s v="22:54:00"/>
    <n v="75.000000000000057"/>
    <s v="Lemon lime"/>
    <s v="600 ml"/>
    <n v="60"/>
    <n v="15"/>
    <n v="0"/>
    <n v="80"/>
    <s v="Evening Shift"/>
  </r>
  <r>
    <d v="2024-08-30T00:00:00"/>
    <s v="CO-600"/>
    <n v="422118"/>
    <x v="2"/>
    <d v="1899-12-30T04:05:00"/>
    <s v="06:05:00"/>
    <n v="119.99999999999997"/>
    <s v="Cola"/>
    <s v="600 ml"/>
    <n v="60"/>
    <n v="60"/>
    <n v="0"/>
    <n v="50"/>
    <s v="Night Shift"/>
  </r>
  <r>
    <d v="2024-08-30T00:00:00"/>
    <s v="CO-600"/>
    <n v="422119"/>
    <x v="2"/>
    <d v="1899-12-30T06:05:00"/>
    <s v="07:30:00"/>
    <n v="85.000000000000014"/>
    <s v="Cola"/>
    <s v="600 ml"/>
    <n v="60"/>
    <n v="25"/>
    <n v="0"/>
    <n v="70.59"/>
    <s v="Night Shift"/>
  </r>
  <r>
    <d v="2024-08-30T00:00:00"/>
    <s v="CO-600"/>
    <n v="422120"/>
    <x v="2"/>
    <d v="1899-12-30T07:30:00"/>
    <s v="09:22:00"/>
    <n v="112"/>
    <s v="Cola"/>
    <s v="600 ml"/>
    <n v="60"/>
    <n v="52"/>
    <n v="0"/>
    <n v="53.57"/>
    <s v="Night Shift"/>
  </r>
  <r>
    <d v="2024-08-30T00:00:00"/>
    <s v="CO-600"/>
    <n v="422121"/>
    <x v="3"/>
    <d v="1899-12-30T09:22:00"/>
    <s v="10:37:00"/>
    <n v="74.999999999999972"/>
    <s v="Cola"/>
    <s v="600 ml"/>
    <n v="60"/>
    <n v="15"/>
    <n v="0"/>
    <n v="80"/>
    <s v="Morning Shift"/>
  </r>
  <r>
    <d v="2024-08-30T00:00:00"/>
    <s v="CO-600"/>
    <n v="422122"/>
    <x v="3"/>
    <d v="1899-12-30T10:37:00"/>
    <s v="12:02:00"/>
    <n v="85.000000000000014"/>
    <s v="Cola"/>
    <s v="600 ml"/>
    <n v="60"/>
    <n v="25"/>
    <n v="0"/>
    <n v="70.59"/>
    <s v="Morning Shift"/>
  </r>
  <r>
    <d v="2024-08-30T00:00:00"/>
    <s v="CO-600"/>
    <n v="422123"/>
    <x v="3"/>
    <d v="1899-12-30T12:02:00"/>
    <s v="14:15:00"/>
    <n v="133"/>
    <s v="Cola"/>
    <s v="600 ml"/>
    <n v="60"/>
    <n v="73"/>
    <n v="0"/>
    <n v="45.11"/>
    <s v="Morning Shift"/>
  </r>
  <r>
    <d v="2024-08-30T00:00:00"/>
    <s v="CO-600"/>
    <n v="422124"/>
    <x v="3"/>
    <d v="1899-12-30T14:15:00"/>
    <s v="15:55:00"/>
    <n v="99.999999999999972"/>
    <s v="Cola"/>
    <s v="600 ml"/>
    <n v="60"/>
    <n v="40"/>
    <n v="0"/>
    <n v="60"/>
    <s v="Morning Shift"/>
  </r>
  <r>
    <d v="2024-08-30T00:00:00"/>
    <s v="CO-600"/>
    <n v="422125"/>
    <x v="1"/>
    <d v="1899-12-30T15:55:00"/>
    <s v="17:15:00"/>
    <n v="80.000000000000028"/>
    <s v="Cola"/>
    <s v="600 ml"/>
    <n v="60"/>
    <n v="20"/>
    <n v="0"/>
    <n v="75"/>
    <s v="Morning Shift"/>
  </r>
  <r>
    <d v="2024-08-30T00:00:00"/>
    <s v="CO-600"/>
    <n v="422126"/>
    <x v="1"/>
    <d v="1899-12-30T17:15:00"/>
    <s v="18:59:00"/>
    <n v="103.99999999999994"/>
    <s v="Cola"/>
    <s v="600 ml"/>
    <n v="60"/>
    <n v="44"/>
    <n v="0"/>
    <n v="57.69"/>
    <s v="Evening Shift"/>
  </r>
  <r>
    <d v="2024-08-30T00:00:00"/>
    <s v="CO-600"/>
    <n v="422127"/>
    <x v="1"/>
    <d v="1899-12-30T18:59:00"/>
    <s v="20:22:00"/>
    <n v="83.000000000000028"/>
    <s v="Cola"/>
    <s v="600 ml"/>
    <n v="60"/>
    <n v="23"/>
    <n v="0"/>
    <n v="72.290000000000006"/>
    <s v="Evening Shift"/>
  </r>
  <r>
    <d v="2024-08-30T00:00:00"/>
    <s v="CO-600"/>
    <n v="422128"/>
    <x v="1"/>
    <d v="1899-12-30T20:22:00"/>
    <s v="22:14:00"/>
    <n v="112.00000000000009"/>
    <s v="Cola"/>
    <s v="600 ml"/>
    <n v="60"/>
    <n v="52"/>
    <n v="0"/>
    <n v="53.57"/>
    <s v="Evening Shift"/>
  </r>
  <r>
    <d v="2024-08-30T00:00:00"/>
    <s v="CO-600"/>
    <n v="422129"/>
    <x v="1"/>
    <d v="1899-12-30T22:14:00"/>
    <s v="23:29:00"/>
    <n v="74.999999999999886"/>
    <s v="Cola"/>
    <s v="600 ml"/>
    <n v="60"/>
    <n v="15"/>
    <n v="0"/>
    <n v="80"/>
    <s v="Evening Shift"/>
  </r>
  <r>
    <d v="2024-08-31T00:00:00"/>
    <s v="CO-600"/>
    <n v="422130"/>
    <x v="2"/>
    <d v="1899-12-30T07:45:00"/>
    <s v="09:05:00"/>
    <n v="79.999999999999957"/>
    <s v="Cola"/>
    <s v="600 ml"/>
    <n v="60"/>
    <n v="20"/>
    <n v="0"/>
    <n v="75"/>
    <s v="Night Shift"/>
  </r>
  <r>
    <d v="2024-08-31T00:00:00"/>
    <s v="CO-600"/>
    <n v="422131"/>
    <x v="2"/>
    <d v="1899-12-30T09:05:00"/>
    <s v="10:35:00"/>
    <n v="90"/>
    <s v="Cola"/>
    <s v="600 ml"/>
    <n v="60"/>
    <n v="30"/>
    <n v="0"/>
    <n v="66.67"/>
    <s v="Morning Shift"/>
  </r>
  <r>
    <d v="2024-08-31T00:00:00"/>
    <s v="CO-600"/>
    <n v="422132"/>
    <x v="2"/>
    <d v="1899-12-30T10:35:00"/>
    <s v="11:35:00"/>
    <n v="60.000000000000028"/>
    <s v="Cola"/>
    <s v="600 ml"/>
    <n v="60"/>
    <n v="0"/>
    <n v="0"/>
    <n v="100"/>
    <s v="Morning Shift"/>
  </r>
  <r>
    <d v="2024-08-31T00:00:00"/>
    <s v="DC-600"/>
    <n v="422133"/>
    <x v="2"/>
    <d v="1899-12-30T11:35:00"/>
    <s v="12:55:00"/>
    <n v="79.999999999999957"/>
    <s v="Diet Cola"/>
    <s v="600 ml"/>
    <n v="60"/>
    <n v="20"/>
    <n v="0"/>
    <n v="75"/>
    <s v="Morning Shift"/>
  </r>
  <r>
    <d v="2024-08-31T00:00:00"/>
    <s v="DC-600"/>
    <n v="422134"/>
    <x v="0"/>
    <d v="1899-12-30T12:55:00"/>
    <s v="14:45:00"/>
    <n v="110.00000000000009"/>
    <s v="Diet Cola"/>
    <s v="600 ml"/>
    <n v="60"/>
    <n v="50"/>
    <n v="0"/>
    <n v="54.55"/>
    <s v="Morning Shift"/>
  </r>
  <r>
    <d v="2024-08-31T00:00:00"/>
    <s v="DC-600"/>
    <n v="422135"/>
    <x v="0"/>
    <d v="1899-12-30T14:45:00"/>
    <s v="16:30:00"/>
    <n v="104.99999999999994"/>
    <s v="Diet Cola"/>
    <s v="600 ml"/>
    <n v="60"/>
    <n v="45"/>
    <n v="0"/>
    <n v="57.14"/>
    <s v="Morning Shift"/>
  </r>
  <r>
    <d v="2024-08-31T00:00:00"/>
    <s v="DC-600"/>
    <n v="422136"/>
    <x v="0"/>
    <d v="1899-12-30T16:30:00"/>
    <s v="17:30:00"/>
    <n v="59.999999999999943"/>
    <s v="Diet Cola"/>
    <s v="600 ml"/>
    <n v="60"/>
    <n v="0"/>
    <n v="0"/>
    <n v="100"/>
    <s v="Evening Shift"/>
  </r>
  <r>
    <d v="2024-09-02T00:00:00"/>
    <s v="CO-2L"/>
    <n v="422144"/>
    <x v="3"/>
    <d v="1899-12-30T12:18:00"/>
    <s v="14:50:00"/>
    <n v="152.00000000000011"/>
    <s v="Cola"/>
    <s v="2 L"/>
    <n v="98"/>
    <n v="54"/>
    <n v="0"/>
    <n v="64.47"/>
    <s v="Morning Shift"/>
  </r>
  <r>
    <d v="2024-09-02T00:00:00"/>
    <s v="CO-2L"/>
    <n v="422145"/>
    <x v="1"/>
    <d v="1899-12-30T14:50:00"/>
    <s v="16:50:00"/>
    <n v="119.99999999999989"/>
    <s v="Cola"/>
    <s v="2 L"/>
    <n v="98"/>
    <n v="22"/>
    <n v="0"/>
    <n v="81.67"/>
    <s v="Morning Shift"/>
  </r>
  <r>
    <d v="2024-09-02T00:00:00"/>
    <s v="CO-2L"/>
    <n v="422146"/>
    <x v="1"/>
    <d v="1899-12-30T16:50:00"/>
    <s v="19:30:00"/>
    <n v="160.00000000000006"/>
    <s v="Cola"/>
    <s v="2 L"/>
    <n v="98"/>
    <n v="62"/>
    <n v="0"/>
    <n v="61.25"/>
    <s v="Evening Shift"/>
  </r>
  <r>
    <d v="2024-09-02T00:00:00"/>
    <s v="CO-2L"/>
    <n v="422147"/>
    <x v="1"/>
    <d v="1899-12-30T19:30:00"/>
    <s v="22:55:00"/>
    <n v="205.00000000000006"/>
    <s v="Cola"/>
    <s v="2 L"/>
    <n v="98"/>
    <n v="107"/>
    <n v="0"/>
    <n v="47.8"/>
    <s v="Evening Shift"/>
  </r>
  <r>
    <d v="2024-09-03T00:00:00"/>
    <s v="CO-2L"/>
    <n v="422148"/>
    <x v="0"/>
    <d v="1899-12-30T22:55:00"/>
    <s v="1900-01-01 01:05:00"/>
    <n v="129.99999999999986"/>
    <s v="Cola"/>
    <s v="2 L"/>
    <n v="98"/>
    <n v="32"/>
    <n v="0"/>
    <n v="75.38"/>
    <s v="Evening Shi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FA512-58A6-41C9-9219-0FB93177F4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4">
    <pivotField numFmtId="14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2" subtotal="count" baseField="0" baseItem="0"/>
    <dataField name="Sum of Total Downtime (Minutes)" fld="10" baseField="0" baseItem="0"/>
    <dataField name="Sum of Production Duration" fld="6" baseField="0" baseItem="0"/>
    <dataField name="Average of Production Efficiency (%)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E4CE82-4E85-46CC-8668-88CC8A1D8580}" autoFormatId="16" applyNumberFormats="0" applyBorderFormats="0" applyFontFormats="0" applyPatternFormats="0" applyAlignmentFormats="0" applyWidthHeightFormats="0">
  <queryTableRefresh nextId="15" unboundColumnsRight="8">
    <queryTableFields count="14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B4C00-563D-4712-961C-BAAE9231963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Batch" tableColumnId="1"/>
      <queryTableField id="2" name="Factor 2" tableColumnId="2"/>
      <queryTableField id="3" name="Factor 3" tableColumnId="3"/>
      <queryTableField id="4" name="Factor 4" tableColumnId="4"/>
      <queryTableField id="5" name="Factor 5" tableColumnId="5"/>
      <queryTableField id="6" name="Factor 6" tableColumnId="6"/>
      <queryTableField id="7" name="Factor 7" tableColumnId="7"/>
      <queryTableField id="8" name="Factor 8" tableColumnId="8"/>
      <queryTableField id="9" name="Factor 9" tableColumnId="9"/>
      <queryTableField id="10" name="Factor 10" tableColumnId="10"/>
      <queryTableField id="11" name="Factor 11" tableColumnId="11"/>
      <queryTableField id="12" name="Factor 12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35F4AC0-9A3D-4F01-9BE3-3CBDF6609B10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78EE327-F835-4DEE-827D-6E4F566C883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5417C3E-0317-4E39-ADBD-D7C248DCFE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4956-5768-403F-A9CA-E6F72D4F723D}" name="line_productivity" displayName="line_productivity" ref="A1:N32" tableType="queryTable" totalsRowShown="0">
  <autoFilter ref="A1:N32" xr:uid="{FC0A4956-5768-403F-A9CA-E6F72D4F723D}"/>
  <tableColumns count="14">
    <tableColumn id="1" xr3:uid="{278538AE-E727-49A0-A426-8F5351BF4A9F}" uniqueName="1" name="Date" queryTableFieldId="1" dataDxfId="14"/>
    <tableColumn id="2" xr3:uid="{FEDB1DD2-98B6-4DE5-A95E-D42E0CE35933}" uniqueName="2" name="Product" queryTableFieldId="2" dataDxfId="13"/>
    <tableColumn id="3" xr3:uid="{3F99F7BA-561C-46DF-AC1E-F476CF585637}" uniqueName="3" name="Batch" queryTableFieldId="3"/>
    <tableColumn id="4" xr3:uid="{E310EDC7-3CA8-4462-A48A-0B1D385D339E}" uniqueName="4" name="Operator" queryTableFieldId="4" dataDxfId="12"/>
    <tableColumn id="5" xr3:uid="{C2FD097A-0B39-44CB-A4CE-32C8A35BCF6B}" uniqueName="5" name="Start Time" queryTableFieldId="5" dataDxfId="11"/>
    <tableColumn id="6" xr3:uid="{95DB96A8-43C7-458E-BD0F-0EF404A432F4}" uniqueName="6" name="End Time" queryTableFieldId="6" dataDxfId="10"/>
    <tableColumn id="7" xr3:uid="{5695BB1C-2524-4A86-88E4-38810F678154}" uniqueName="7" name="Production Duration" queryTableFieldId="7">
      <calculatedColumnFormula>MOD(F2-E2,1)*1440</calculatedColumnFormula>
    </tableColumn>
    <tableColumn id="8" xr3:uid="{007D6F9B-941A-4CD1-949D-B33E90E0C05D}" uniqueName="8" name="Flavor" queryTableFieldId="8"/>
    <tableColumn id="9" xr3:uid="{5B83288D-5128-40F5-ADEF-F86F63E3607B}" uniqueName="9" name="Size" queryTableFieldId="9">
      <calculatedColumnFormula>_xlfn.XLOOKUP(B2,#REF!,#REF!,"Not Found")</calculatedColumnFormula>
    </tableColumn>
    <tableColumn id="10" xr3:uid="{50D0509F-8FBE-485A-9A06-B349E4E3FD47}" uniqueName="10" name="Min Batch Time" queryTableFieldId="10">
      <calculatedColumnFormula>_xlfn.XLOOKUP(B2,#REF!,#REF!,"Not Found")</calculatedColumnFormula>
    </tableColumn>
    <tableColumn id="11" xr3:uid="{BBA14E17-8955-4D44-AC8E-91F1663E06CE}" uniqueName="11" name="Total Downtime (Minutes)" queryTableFieldId="11">
      <calculatedColumnFormula array="1">SUMPRODUCT(--('downtime clean'!$A$2:$A$39&amp;""=C2&amp;""),'downtime clean'!$M$2:$M$39)</calculatedColumnFormula>
    </tableColumn>
    <tableColumn id="12" xr3:uid="{2BBCFD70-7059-4630-846A-700B71DCDE9A}" uniqueName="12" name="Excess Time" queryTableFieldId="12">
      <calculatedColumnFormula>ROUND(G2-J2-K2,2)</calculatedColumnFormula>
    </tableColumn>
    <tableColumn id="13" xr3:uid="{937D1733-4FCD-4200-8779-84C90EC22C60}" uniqueName="13" name="Production Efficiency (%)" queryTableFieldId="13">
      <calculatedColumnFormula>ROUND((J2/G2)*100,2)</calculatedColumnFormula>
    </tableColumn>
    <tableColumn id="14" xr3:uid="{32135211-C77A-47A4-AD5F-96AFD0871795}" uniqueName="14" name="Shifts" queryTableFieldId="14">
      <calculatedColumnFormula>IF(HOUR(E2)&lt;8,"Night Shift",IF(HOUR(E2)&lt;16,"Morning Shift","Evening Shift"))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A835-72F3-48E3-A5BE-3CD59C060532}" name="Dowmtime_clean" displayName="Dowmtime_clean" ref="A1:M39" tableType="queryTable" totalsRowShown="0">
  <autoFilter ref="A1:M39" xr:uid="{8795A835-72F3-48E3-A5BE-3CD59C060532}"/>
  <tableColumns count="13">
    <tableColumn id="1" xr3:uid="{2FDB3DE0-F847-4EE8-B3A5-8FE35404EBF0}" uniqueName="1" name="Batch" queryTableFieldId="1" dataDxfId="9"/>
    <tableColumn id="2" xr3:uid="{585B7DF0-356A-43AD-84DD-270351BCACCA}" uniqueName="2" name="Factor 2" queryTableFieldId="2"/>
    <tableColumn id="3" xr3:uid="{8CEC3B18-455E-4546-B62E-BC08A3038529}" uniqueName="3" name="Factor 3" queryTableFieldId="3"/>
    <tableColumn id="4" xr3:uid="{B36EDE9C-0F9C-4A7C-A46B-68CCEEE3BE8A}" uniqueName="4" name="Factor 4" queryTableFieldId="4"/>
    <tableColumn id="5" xr3:uid="{CF410449-4646-44CE-8E96-BE065506B0C6}" uniqueName="5" name="Factor 5" queryTableFieldId="5"/>
    <tableColumn id="6" xr3:uid="{00FCDD23-A74F-4497-9907-75275C208F27}" uniqueName="6" name="Factor 6" queryTableFieldId="6"/>
    <tableColumn id="7" xr3:uid="{78BE9BC1-879A-4658-A3A7-46B2E494EA4C}" uniqueName="7" name="Factor 7" queryTableFieldId="7"/>
    <tableColumn id="8" xr3:uid="{CD5CD3E7-000A-4D3F-926A-8B9358D8B5D1}" uniqueName="8" name="Factor 8" queryTableFieldId="8"/>
    <tableColumn id="9" xr3:uid="{8EB20ED4-5352-4171-B366-1301532B72F9}" uniqueName="9" name="Factor 9" queryTableFieldId="9"/>
    <tableColumn id="10" xr3:uid="{3728A07D-1EDF-4F1B-BBD0-AE7F37310FCF}" uniqueName="10" name="Factor 10" queryTableFieldId="10"/>
    <tableColumn id="11" xr3:uid="{9422EC91-BE96-4EF1-A6A0-BB2675B5FAE8}" uniqueName="11" name="Factor 11" queryTableFieldId="11"/>
    <tableColumn id="12" xr3:uid="{B5EE6A97-0304-4576-BB38-AF1E60D2F00E}" uniqueName="12" name="Factor 12" queryTableFieldId="12"/>
    <tableColumn id="13" xr3:uid="{E63622EC-9839-4068-88E7-B4C398776077}" uniqueName="13" name="total downtime" queryTableFieldId="13">
      <calculatedColumnFormula>SUM(B2:L2)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9A06B-477F-4F9F-A13D-3D3184CB0452}" name="downtime_factors__2" displayName="downtime_factors__2" ref="A1:C13" tableType="queryTable" totalsRowShown="0">
  <autoFilter ref="A1:C13" xr:uid="{AAD9A06B-477F-4F9F-A13D-3D3184CB0452}"/>
  <tableColumns count="3">
    <tableColumn id="1" xr3:uid="{926BD53B-EB37-4553-9A85-77D264399DFF}" uniqueName="1" name="Factor" queryTableFieldId="1"/>
    <tableColumn id="2" xr3:uid="{9F338BBA-E5AA-4725-AD29-22DC61D01A01}" uniqueName="2" name="Description" queryTableFieldId="2" dataDxfId="8"/>
    <tableColumn id="3" xr3:uid="{CC8230F2-6C4C-41FA-8BC0-DFB29B1B9C51}" uniqueName="3" name="Operator Error" queryTableFieldId="3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CDA8A9-CBEE-4861-B52B-1AC76361488B}" name="products__2" displayName="products__2" ref="A1:D6" tableType="queryTable" totalsRowShown="0">
  <autoFilter ref="A1:D6" xr:uid="{0ACDA8A9-CBEE-4861-B52B-1AC76361488B}"/>
  <tableColumns count="4">
    <tableColumn id="1" xr3:uid="{48141855-D389-436A-A657-8063DF413CBE}" uniqueName="1" name="Product" queryTableFieldId="1" dataDxfId="6"/>
    <tableColumn id="2" xr3:uid="{6408650D-58C9-4B79-81AD-5238B47B20F7}" uniqueName="2" name="Flavor" queryTableFieldId="2" dataDxfId="5"/>
    <tableColumn id="3" xr3:uid="{63CB5AD0-60B2-4CDB-8F08-C352F89286C6}" uniqueName="3" name="Size" queryTableFieldId="3" dataDxfId="4"/>
    <tableColumn id="4" xr3:uid="{D03A438E-F107-4444-85C5-5B53445C22E0}" uniqueName="4" name="Min batch tim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F067E-A0C4-49E0-93BC-E8F5A0831085}" name="metadata__2" displayName="metadata__2" ref="A1:C21" tableType="queryTable" totalsRowShown="0">
  <autoFilter ref="A1:C21" xr:uid="{6D8F067E-A0C4-49E0-93BC-E8F5A0831085}"/>
  <tableColumns count="3">
    <tableColumn id="1" xr3:uid="{87BB170C-EB94-4271-986E-B1246E9754D5}" uniqueName="1" name="Column1" queryTableFieldId="1" dataDxfId="3"/>
    <tableColumn id="2" xr3:uid="{CD984038-2DF7-4BBE-BB64-9D959C448B83}" uniqueName="2" name="Column2" queryTableFieldId="2" dataDxfId="2"/>
    <tableColumn id="3" xr3:uid="{FB4D8DDF-48B2-4831-A73F-F1E5E1FE2F56}" uniqueName="3" name="Column3" queryTableFieldId="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D8E-96F8-4E6F-A499-87BEB33671CB}">
  <dimension ref="A1:N32"/>
  <sheetViews>
    <sheetView topLeftCell="A2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81640625" bestFit="1" customWidth="1"/>
    <col min="4" max="4" width="10.81640625" bestFit="1" customWidth="1"/>
    <col min="5" max="5" width="11.7265625" style="2" bestFit="1" customWidth="1"/>
    <col min="6" max="6" width="17.81640625" style="2" bestFit="1" customWidth="1"/>
    <col min="8" max="8" width="13.26953125" customWidth="1"/>
    <col min="11" max="11" width="12.54296875" customWidth="1"/>
    <col min="14" max="14" width="14.36328125" customWidth="1"/>
  </cols>
  <sheetData>
    <row r="1" spans="1:14" x14ac:dyDescent="0.35">
      <c r="A1" s="1" t="s">
        <v>0</v>
      </c>
      <c r="B1" t="s">
        <v>1</v>
      </c>
      <c r="C1" s="3" t="s">
        <v>2</v>
      </c>
      <c r="D1" t="s">
        <v>3</v>
      </c>
      <c r="E1" s="2" t="s">
        <v>4</v>
      </c>
      <c r="F1" s="2" t="s">
        <v>5</v>
      </c>
      <c r="G1" t="s">
        <v>150</v>
      </c>
      <c r="H1" t="s">
        <v>116</v>
      </c>
      <c r="I1" t="s">
        <v>117</v>
      </c>
      <c r="J1" t="s">
        <v>151</v>
      </c>
      <c r="K1" t="s">
        <v>152</v>
      </c>
      <c r="L1" t="s">
        <v>154</v>
      </c>
      <c r="M1" t="s">
        <v>155</v>
      </c>
      <c r="N1" t="s">
        <v>156</v>
      </c>
    </row>
    <row r="2" spans="1:14" x14ac:dyDescent="0.35">
      <c r="A2" s="1">
        <v>45533</v>
      </c>
      <c r="B2" t="s">
        <v>6</v>
      </c>
      <c r="C2">
        <v>422111</v>
      </c>
      <c r="D2" t="s">
        <v>7</v>
      </c>
      <c r="E2" s="2">
        <v>0.49305555555555558</v>
      </c>
      <c r="F2" s="2" t="s">
        <v>8</v>
      </c>
      <c r="G2">
        <f>MOD(F2-E2,1)*1440</f>
        <v>135</v>
      </c>
      <c r="H2" t="e">
        <f>_xlfn.XLOOKUP(B2,#REF!,#REF!,"Not Found")</f>
        <v>#REF!</v>
      </c>
      <c r="I2" t="e">
        <f>_xlfn.XLOOKUP(B2,#REF!,#REF!,"Not Found")</f>
        <v>#REF!</v>
      </c>
      <c r="J2" t="e">
        <f>_xlfn.XLOOKUP(B2,#REF!,#REF!,"Not Found")</f>
        <v>#REF!</v>
      </c>
      <c r="K2" cm="1">
        <f t="array" ref="K2">SUMPRODUCT(--('downtime clean'!$A$2:$A$39&amp;""=C2&amp;""),'downtime clean'!$M$2:$M$39)</f>
        <v>75</v>
      </c>
      <c r="L2" t="e">
        <f>ROUND(G2-J2-K2,2)</f>
        <v>#REF!</v>
      </c>
      <c r="M2" t="e">
        <f>ROUND((J2/G2)*100,2)</f>
        <v>#REF!</v>
      </c>
      <c r="N2" t="str">
        <f>IF(HOUR(E2)&lt;8,"Night Shift",IF(HOUR(E2)&lt;16,"Morning Shift","Evening Shift"))</f>
        <v>Morning Shift</v>
      </c>
    </row>
    <row r="3" spans="1:14" x14ac:dyDescent="0.35">
      <c r="A3" s="1">
        <v>45533</v>
      </c>
      <c r="B3" t="s">
        <v>9</v>
      </c>
      <c r="C3">
        <v>422112</v>
      </c>
      <c r="D3" t="s">
        <v>7</v>
      </c>
      <c r="E3" s="2">
        <v>0.58680555555555558</v>
      </c>
      <c r="F3" s="2" t="s">
        <v>10</v>
      </c>
      <c r="G3">
        <f t="shared" ref="G3:G32" si="0">MOD(F3-E3,1)*1440</f>
        <v>99.999999999999972</v>
      </c>
      <c r="H3" t="e">
        <f>_xlfn.XLOOKUP(B3,#REF!,#REF!,"Not Found")</f>
        <v>#REF!</v>
      </c>
      <c r="I3" t="e">
        <f>_xlfn.XLOOKUP(B3,#REF!,#REF!,"Not Found")</f>
        <v>#REF!</v>
      </c>
      <c r="J3" t="e">
        <f>_xlfn.XLOOKUP(B3,#REF!,#REF!,"Not Found")</f>
        <v>#REF!</v>
      </c>
      <c r="K3" cm="1">
        <f t="array" ref="K3">SUMPRODUCT(--('downtime clean'!$A$2:$A$39&amp;""=C3&amp;""),'downtime clean'!$M$2:$M$39)</f>
        <v>40</v>
      </c>
      <c r="L3" t="e">
        <f t="shared" ref="L3:L32" si="1">ROUND(G3-J3-K3,2)</f>
        <v>#REF!</v>
      </c>
      <c r="M3" t="e">
        <f t="shared" ref="M3:M32" si="2">ROUND((J3/G3)*100,2)</f>
        <v>#REF!</v>
      </c>
      <c r="N3" t="str">
        <f t="shared" ref="N3:N32" si="3">IF(HOUR(E3)&lt;8,"Night Shift",IF(HOUR(E3)&lt;16,"Morning Shift","Evening Shift"))</f>
        <v>Morning Shift</v>
      </c>
    </row>
    <row r="4" spans="1:14" x14ac:dyDescent="0.35">
      <c r="A4" s="1">
        <v>45533</v>
      </c>
      <c r="B4" t="s">
        <v>9</v>
      </c>
      <c r="C4">
        <v>422113</v>
      </c>
      <c r="D4" t="s">
        <v>7</v>
      </c>
      <c r="E4" s="2">
        <v>0.65625</v>
      </c>
      <c r="F4" s="2" t="s">
        <v>11</v>
      </c>
      <c r="G4">
        <f t="shared" si="0"/>
        <v>109.99999999999993</v>
      </c>
      <c r="H4" t="e">
        <f>_xlfn.XLOOKUP(B4,#REF!,#REF!,"Not Found")</f>
        <v>#REF!</v>
      </c>
      <c r="I4" t="e">
        <f>_xlfn.XLOOKUP(B4,#REF!,#REF!,"Not Found")</f>
        <v>#REF!</v>
      </c>
      <c r="J4" t="e">
        <f>_xlfn.XLOOKUP(B4,#REF!,#REF!,"Not Found")</f>
        <v>#REF!</v>
      </c>
      <c r="K4" cm="1">
        <f t="array" ref="K4">SUMPRODUCT(--('downtime clean'!$A$2:$A$39&amp;""=C4&amp;""),'downtime clean'!$M$2:$M$39)</f>
        <v>50</v>
      </c>
      <c r="L4" t="e">
        <f t="shared" si="1"/>
        <v>#REF!</v>
      </c>
      <c r="M4" t="e">
        <f t="shared" si="2"/>
        <v>#REF!</v>
      </c>
      <c r="N4" t="str">
        <f t="shared" si="3"/>
        <v>Morning Shift</v>
      </c>
    </row>
    <row r="5" spans="1:14" x14ac:dyDescent="0.35">
      <c r="A5" s="1">
        <v>45533</v>
      </c>
      <c r="B5" t="s">
        <v>9</v>
      </c>
      <c r="C5">
        <v>422114</v>
      </c>
      <c r="D5" t="s">
        <v>7</v>
      </c>
      <c r="E5" s="2">
        <v>0.73263888888888884</v>
      </c>
      <c r="F5" s="2" t="s">
        <v>12</v>
      </c>
      <c r="G5">
        <f t="shared" si="0"/>
        <v>100.00000000000013</v>
      </c>
      <c r="H5" t="e">
        <f>_xlfn.XLOOKUP(B5,#REF!,#REF!,"Not Found")</f>
        <v>#REF!</v>
      </c>
      <c r="I5" t="e">
        <f>_xlfn.XLOOKUP(B5,#REF!,#REF!,"Not Found")</f>
        <v>#REF!</v>
      </c>
      <c r="J5" t="e">
        <f>_xlfn.XLOOKUP(B5,#REF!,#REF!,"Not Found")</f>
        <v>#REF!</v>
      </c>
      <c r="K5" cm="1">
        <f t="array" ref="K5">SUMPRODUCT(--('downtime clean'!$A$2:$A$39&amp;""=C5&amp;""),'downtime clean'!$M$2:$M$39)</f>
        <v>40</v>
      </c>
      <c r="L5" t="e">
        <f t="shared" si="1"/>
        <v>#REF!</v>
      </c>
      <c r="M5" t="e">
        <f t="shared" si="2"/>
        <v>#REF!</v>
      </c>
      <c r="N5" t="str">
        <f t="shared" si="3"/>
        <v>Evening Shift</v>
      </c>
    </row>
    <row r="6" spans="1:14" x14ac:dyDescent="0.35">
      <c r="A6" s="1">
        <v>45533</v>
      </c>
      <c r="B6" t="s">
        <v>9</v>
      </c>
      <c r="C6">
        <v>422115</v>
      </c>
      <c r="D6" t="s">
        <v>13</v>
      </c>
      <c r="E6" s="2">
        <v>0.80208333333333337</v>
      </c>
      <c r="F6" s="2" t="s">
        <v>14</v>
      </c>
      <c r="G6">
        <f t="shared" si="0"/>
        <v>84.000000000000028</v>
      </c>
      <c r="H6" t="e">
        <f>_xlfn.XLOOKUP(B6,#REF!,#REF!,"Not Found")</f>
        <v>#REF!</v>
      </c>
      <c r="I6" t="e">
        <f>_xlfn.XLOOKUP(B6,#REF!,#REF!,"Not Found")</f>
        <v>#REF!</v>
      </c>
      <c r="J6" t="e">
        <f>_xlfn.XLOOKUP(B6,#REF!,#REF!,"Not Found")</f>
        <v>#REF!</v>
      </c>
      <c r="K6" cm="1">
        <f t="array" ref="K6">SUMPRODUCT(--('downtime clean'!$A$2:$A$39&amp;""=C6&amp;""),'downtime clean'!$M$2:$M$39)</f>
        <v>24</v>
      </c>
      <c r="L6" t="e">
        <f t="shared" si="1"/>
        <v>#REF!</v>
      </c>
      <c r="M6" t="e">
        <f t="shared" si="2"/>
        <v>#REF!</v>
      </c>
      <c r="N6" t="str">
        <f t="shared" si="3"/>
        <v>Evening Shift</v>
      </c>
    </row>
    <row r="7" spans="1:14" x14ac:dyDescent="0.35">
      <c r="A7" s="1">
        <v>45533</v>
      </c>
      <c r="B7" t="s">
        <v>9</v>
      </c>
      <c r="C7">
        <v>422116</v>
      </c>
      <c r="D7" t="s">
        <v>13</v>
      </c>
      <c r="E7" s="2">
        <v>0.86041666666666672</v>
      </c>
      <c r="F7" s="2" t="s">
        <v>15</v>
      </c>
      <c r="G7">
        <f t="shared" si="0"/>
        <v>59.999999999999943</v>
      </c>
      <c r="H7" t="e">
        <f>_xlfn.XLOOKUP(B7,#REF!,#REF!,"Not Found")</f>
        <v>#REF!</v>
      </c>
      <c r="I7" t="e">
        <f>_xlfn.XLOOKUP(B7,#REF!,#REF!,"Not Found")</f>
        <v>#REF!</v>
      </c>
      <c r="J7" t="e">
        <f>_xlfn.XLOOKUP(B7,#REF!,#REF!,"Not Found")</f>
        <v>#REF!</v>
      </c>
      <c r="K7" cm="1">
        <f t="array" ref="K7">SUMPRODUCT(--('downtime clean'!$A$2:$A$39&amp;""=C7&amp;""),'downtime clean'!$M$2:$M$39)</f>
        <v>0</v>
      </c>
      <c r="L7" t="e">
        <f t="shared" si="1"/>
        <v>#REF!</v>
      </c>
      <c r="M7" t="e">
        <f t="shared" si="2"/>
        <v>#REF!</v>
      </c>
      <c r="N7" t="str">
        <f t="shared" si="3"/>
        <v>Evening Shift</v>
      </c>
    </row>
    <row r="8" spans="1:14" x14ac:dyDescent="0.35">
      <c r="A8" s="1">
        <v>45533</v>
      </c>
      <c r="B8" t="s">
        <v>9</v>
      </c>
      <c r="C8">
        <v>422117</v>
      </c>
      <c r="D8" t="s">
        <v>13</v>
      </c>
      <c r="E8" s="2">
        <v>0.90208333333333335</v>
      </c>
      <c r="F8" s="2" t="s">
        <v>16</v>
      </c>
      <c r="G8">
        <f t="shared" si="0"/>
        <v>75.000000000000057</v>
      </c>
      <c r="H8" t="e">
        <f>_xlfn.XLOOKUP(B8,#REF!,#REF!,"Not Found")</f>
        <v>#REF!</v>
      </c>
      <c r="I8" t="e">
        <f>_xlfn.XLOOKUP(B8,#REF!,#REF!,"Not Found")</f>
        <v>#REF!</v>
      </c>
      <c r="J8" t="e">
        <f>_xlfn.XLOOKUP(B8,#REF!,#REF!,"Not Found")</f>
        <v>#REF!</v>
      </c>
      <c r="K8" cm="1">
        <f t="array" ref="K8">SUMPRODUCT(--('downtime clean'!$A$2:$A$39&amp;""=C8&amp;""),'downtime clean'!$M$2:$M$39)</f>
        <v>15</v>
      </c>
      <c r="L8" t="e">
        <f t="shared" si="1"/>
        <v>#REF!</v>
      </c>
      <c r="M8" t="e">
        <f t="shared" si="2"/>
        <v>#REF!</v>
      </c>
      <c r="N8" t="str">
        <f t="shared" si="3"/>
        <v>Evening Shift</v>
      </c>
    </row>
    <row r="9" spans="1:14" x14ac:dyDescent="0.35">
      <c r="A9" s="1">
        <v>45534</v>
      </c>
      <c r="B9" t="s">
        <v>17</v>
      </c>
      <c r="C9">
        <v>422118</v>
      </c>
      <c r="D9" t="s">
        <v>18</v>
      </c>
      <c r="E9" s="2">
        <v>0.1701388888888889</v>
      </c>
      <c r="F9" s="2" t="s">
        <v>19</v>
      </c>
      <c r="G9">
        <f t="shared" si="0"/>
        <v>119.99999999999997</v>
      </c>
      <c r="H9" t="e">
        <f>_xlfn.XLOOKUP(B9,#REF!,#REF!,"Not Found")</f>
        <v>#REF!</v>
      </c>
      <c r="I9" t="e">
        <f>_xlfn.XLOOKUP(B9,#REF!,#REF!,"Not Found")</f>
        <v>#REF!</v>
      </c>
      <c r="J9" t="e">
        <f>_xlfn.XLOOKUP(B9,#REF!,#REF!,"Not Found")</f>
        <v>#REF!</v>
      </c>
      <c r="K9" cm="1">
        <f t="array" ref="K9">SUMPRODUCT(--('downtime clean'!$A$2:$A$39&amp;""=C9&amp;""),'downtime clean'!$M$2:$M$39)</f>
        <v>60</v>
      </c>
      <c r="L9" t="e">
        <f t="shared" si="1"/>
        <v>#REF!</v>
      </c>
      <c r="M9" t="e">
        <f t="shared" si="2"/>
        <v>#REF!</v>
      </c>
      <c r="N9" t="str">
        <f t="shared" si="3"/>
        <v>Night Shift</v>
      </c>
    </row>
    <row r="10" spans="1:14" x14ac:dyDescent="0.35">
      <c r="A10" s="1">
        <v>45534</v>
      </c>
      <c r="B10" t="s">
        <v>17</v>
      </c>
      <c r="C10">
        <v>422119</v>
      </c>
      <c r="D10" t="s">
        <v>18</v>
      </c>
      <c r="E10" s="2">
        <v>0.25347222222222221</v>
      </c>
      <c r="F10" s="2" t="s">
        <v>20</v>
      </c>
      <c r="G10">
        <f t="shared" si="0"/>
        <v>85.000000000000014</v>
      </c>
      <c r="H10" t="e">
        <f>_xlfn.XLOOKUP(B10,#REF!,#REF!,"Not Found")</f>
        <v>#REF!</v>
      </c>
      <c r="I10" t="e">
        <f>_xlfn.XLOOKUP(B10,#REF!,#REF!,"Not Found")</f>
        <v>#REF!</v>
      </c>
      <c r="J10" t="e">
        <f>_xlfn.XLOOKUP(B10,#REF!,#REF!,"Not Found")</f>
        <v>#REF!</v>
      </c>
      <c r="K10" cm="1">
        <f t="array" ref="K10">SUMPRODUCT(--('downtime clean'!$A$2:$A$39&amp;""=C10&amp;""),'downtime clean'!$M$2:$M$39)</f>
        <v>25</v>
      </c>
      <c r="L10" t="e">
        <f t="shared" si="1"/>
        <v>#REF!</v>
      </c>
      <c r="M10" t="e">
        <f t="shared" si="2"/>
        <v>#REF!</v>
      </c>
      <c r="N10" t="str">
        <f t="shared" si="3"/>
        <v>Night Shift</v>
      </c>
    </row>
    <row r="11" spans="1:14" x14ac:dyDescent="0.35">
      <c r="A11" s="1">
        <v>45534</v>
      </c>
      <c r="B11" t="s">
        <v>17</v>
      </c>
      <c r="C11">
        <v>422120</v>
      </c>
      <c r="D11" t="s">
        <v>18</v>
      </c>
      <c r="E11" s="2">
        <v>0.3125</v>
      </c>
      <c r="F11" s="2" t="s">
        <v>21</v>
      </c>
      <c r="G11">
        <f t="shared" si="0"/>
        <v>112</v>
      </c>
      <c r="H11" t="e">
        <f>_xlfn.XLOOKUP(B11,#REF!,#REF!,"Not Found")</f>
        <v>#REF!</v>
      </c>
      <c r="I11" t="e">
        <f>_xlfn.XLOOKUP(B11,#REF!,#REF!,"Not Found")</f>
        <v>#REF!</v>
      </c>
      <c r="J11" t="e">
        <f>_xlfn.XLOOKUP(B11,#REF!,#REF!,"Not Found")</f>
        <v>#REF!</v>
      </c>
      <c r="K11" cm="1">
        <f t="array" ref="K11">SUMPRODUCT(--('downtime clean'!$A$2:$A$39&amp;""=C11&amp;""),'downtime clean'!$M$2:$M$39)</f>
        <v>52</v>
      </c>
      <c r="L11" t="e">
        <f t="shared" si="1"/>
        <v>#REF!</v>
      </c>
      <c r="M11" t="e">
        <f t="shared" si="2"/>
        <v>#REF!</v>
      </c>
      <c r="N11" t="str">
        <f t="shared" si="3"/>
        <v>Night Shift</v>
      </c>
    </row>
    <row r="12" spans="1:14" x14ac:dyDescent="0.35">
      <c r="A12" s="1">
        <v>45534</v>
      </c>
      <c r="B12" t="s">
        <v>17</v>
      </c>
      <c r="C12">
        <v>422121</v>
      </c>
      <c r="D12" t="s">
        <v>22</v>
      </c>
      <c r="E12" s="2">
        <v>0.39027777777777778</v>
      </c>
      <c r="F12" s="2" t="s">
        <v>23</v>
      </c>
      <c r="G12">
        <f t="shared" si="0"/>
        <v>74.999999999999972</v>
      </c>
      <c r="H12" t="e">
        <f>_xlfn.XLOOKUP(B12,#REF!,#REF!,"Not Found")</f>
        <v>#REF!</v>
      </c>
      <c r="I12" t="e">
        <f>_xlfn.XLOOKUP(B12,#REF!,#REF!,"Not Found")</f>
        <v>#REF!</v>
      </c>
      <c r="J12" t="e">
        <f>_xlfn.XLOOKUP(B12,#REF!,#REF!,"Not Found")</f>
        <v>#REF!</v>
      </c>
      <c r="K12" cm="1">
        <f t="array" ref="K12">SUMPRODUCT(--('downtime clean'!$A$2:$A$39&amp;""=C12&amp;""),'downtime clean'!$M$2:$M$39)</f>
        <v>15</v>
      </c>
      <c r="L12" t="e">
        <f t="shared" si="1"/>
        <v>#REF!</v>
      </c>
      <c r="M12" t="e">
        <f t="shared" si="2"/>
        <v>#REF!</v>
      </c>
      <c r="N12" t="str">
        <f t="shared" si="3"/>
        <v>Morning Shift</v>
      </c>
    </row>
    <row r="13" spans="1:14" x14ac:dyDescent="0.35">
      <c r="A13" s="1">
        <v>45534</v>
      </c>
      <c r="B13" t="s">
        <v>17</v>
      </c>
      <c r="C13">
        <v>422122</v>
      </c>
      <c r="D13" t="s">
        <v>22</v>
      </c>
      <c r="E13" s="2">
        <v>0.44236111111111109</v>
      </c>
      <c r="F13" s="2" t="s">
        <v>24</v>
      </c>
      <c r="G13">
        <f t="shared" si="0"/>
        <v>85.000000000000014</v>
      </c>
      <c r="H13" t="e">
        <f>_xlfn.XLOOKUP(B13,#REF!,#REF!,"Not Found")</f>
        <v>#REF!</v>
      </c>
      <c r="I13" t="e">
        <f>_xlfn.XLOOKUP(B13,#REF!,#REF!,"Not Found")</f>
        <v>#REF!</v>
      </c>
      <c r="J13" t="e">
        <f>_xlfn.XLOOKUP(B13,#REF!,#REF!,"Not Found")</f>
        <v>#REF!</v>
      </c>
      <c r="K13" cm="1">
        <f t="array" ref="K13">SUMPRODUCT(--('downtime clean'!$A$2:$A$39&amp;""=C13&amp;""),'downtime clean'!$M$2:$M$39)</f>
        <v>25</v>
      </c>
      <c r="L13" t="e">
        <f t="shared" si="1"/>
        <v>#REF!</v>
      </c>
      <c r="M13" t="e">
        <f t="shared" si="2"/>
        <v>#REF!</v>
      </c>
      <c r="N13" t="str">
        <f t="shared" si="3"/>
        <v>Morning Shift</v>
      </c>
    </row>
    <row r="14" spans="1:14" x14ac:dyDescent="0.35">
      <c r="A14" s="1">
        <v>45534</v>
      </c>
      <c r="B14" t="s">
        <v>17</v>
      </c>
      <c r="C14">
        <v>422123</v>
      </c>
      <c r="D14" t="s">
        <v>22</v>
      </c>
      <c r="E14" s="2">
        <v>0.50138888888888888</v>
      </c>
      <c r="F14" s="2" t="s">
        <v>25</v>
      </c>
      <c r="G14">
        <f t="shared" si="0"/>
        <v>133</v>
      </c>
      <c r="H14" t="e">
        <f>_xlfn.XLOOKUP(B14,#REF!,#REF!,"Not Found")</f>
        <v>#REF!</v>
      </c>
      <c r="I14" t="e">
        <f>_xlfn.XLOOKUP(B14,#REF!,#REF!,"Not Found")</f>
        <v>#REF!</v>
      </c>
      <c r="J14" t="e">
        <f>_xlfn.XLOOKUP(B14,#REF!,#REF!,"Not Found")</f>
        <v>#REF!</v>
      </c>
      <c r="K14" cm="1">
        <f t="array" ref="K14">SUMPRODUCT(--('downtime clean'!$A$2:$A$39&amp;""=C14&amp;""),'downtime clean'!$M$2:$M$39)</f>
        <v>73</v>
      </c>
      <c r="L14" t="e">
        <f t="shared" si="1"/>
        <v>#REF!</v>
      </c>
      <c r="M14" t="e">
        <f t="shared" si="2"/>
        <v>#REF!</v>
      </c>
      <c r="N14" t="str">
        <f t="shared" si="3"/>
        <v>Morning Shift</v>
      </c>
    </row>
    <row r="15" spans="1:14" x14ac:dyDescent="0.35">
      <c r="A15" s="1">
        <v>45534</v>
      </c>
      <c r="B15" t="s">
        <v>17</v>
      </c>
      <c r="C15">
        <v>422124</v>
      </c>
      <c r="D15" t="s">
        <v>22</v>
      </c>
      <c r="E15" s="2">
        <v>0.59375</v>
      </c>
      <c r="F15" s="2" t="s">
        <v>26</v>
      </c>
      <c r="G15">
        <f t="shared" si="0"/>
        <v>99.999999999999972</v>
      </c>
      <c r="H15" t="e">
        <f>_xlfn.XLOOKUP(B15,#REF!,#REF!,"Not Found")</f>
        <v>#REF!</v>
      </c>
      <c r="I15" t="e">
        <f>_xlfn.XLOOKUP(B15,#REF!,#REF!,"Not Found")</f>
        <v>#REF!</v>
      </c>
      <c r="J15" t="e">
        <f>_xlfn.XLOOKUP(B15,#REF!,#REF!,"Not Found")</f>
        <v>#REF!</v>
      </c>
      <c r="K15" cm="1">
        <f t="array" ref="K15">SUMPRODUCT(--('downtime clean'!$A$2:$A$39&amp;""=C15&amp;""),'downtime clean'!$M$2:$M$39)</f>
        <v>40</v>
      </c>
      <c r="L15" t="e">
        <f t="shared" si="1"/>
        <v>#REF!</v>
      </c>
      <c r="M15" t="e">
        <f t="shared" si="2"/>
        <v>#REF!</v>
      </c>
      <c r="N15" t="str">
        <f t="shared" si="3"/>
        <v>Morning Shift</v>
      </c>
    </row>
    <row r="16" spans="1:14" x14ac:dyDescent="0.35">
      <c r="A16" s="1">
        <v>45534</v>
      </c>
      <c r="B16" t="s">
        <v>17</v>
      </c>
      <c r="C16">
        <v>422125</v>
      </c>
      <c r="D16" t="s">
        <v>13</v>
      </c>
      <c r="E16" s="2">
        <v>0.66319444444444442</v>
      </c>
      <c r="F16" s="2" t="s">
        <v>27</v>
      </c>
      <c r="G16">
        <f t="shared" si="0"/>
        <v>80.000000000000028</v>
      </c>
      <c r="H16" t="e">
        <f>_xlfn.XLOOKUP(B16,#REF!,#REF!,"Not Found")</f>
        <v>#REF!</v>
      </c>
      <c r="I16" t="e">
        <f>_xlfn.XLOOKUP(B16,#REF!,#REF!,"Not Found")</f>
        <v>#REF!</v>
      </c>
      <c r="J16" t="e">
        <f>_xlfn.XLOOKUP(B16,#REF!,#REF!,"Not Found")</f>
        <v>#REF!</v>
      </c>
      <c r="K16" cm="1">
        <f t="array" ref="K16">SUMPRODUCT(--('downtime clean'!$A$2:$A$39&amp;""=C16&amp;""),'downtime clean'!$M$2:$M$39)</f>
        <v>20</v>
      </c>
      <c r="L16" t="e">
        <f t="shared" si="1"/>
        <v>#REF!</v>
      </c>
      <c r="M16" t="e">
        <f t="shared" si="2"/>
        <v>#REF!</v>
      </c>
      <c r="N16" t="str">
        <f t="shared" si="3"/>
        <v>Morning Shift</v>
      </c>
    </row>
    <row r="17" spans="1:14" x14ac:dyDescent="0.35">
      <c r="A17" s="1">
        <v>45534</v>
      </c>
      <c r="B17" t="s">
        <v>17</v>
      </c>
      <c r="C17">
        <v>422126</v>
      </c>
      <c r="D17" t="s">
        <v>13</v>
      </c>
      <c r="E17" s="2">
        <v>0.71875</v>
      </c>
      <c r="F17" s="2" t="s">
        <v>28</v>
      </c>
      <c r="G17">
        <f t="shared" si="0"/>
        <v>103.99999999999994</v>
      </c>
      <c r="H17" t="e">
        <f>_xlfn.XLOOKUP(B17,#REF!,#REF!,"Not Found")</f>
        <v>#REF!</v>
      </c>
      <c r="I17" t="e">
        <f>_xlfn.XLOOKUP(B17,#REF!,#REF!,"Not Found")</f>
        <v>#REF!</v>
      </c>
      <c r="J17" t="e">
        <f>_xlfn.XLOOKUP(B17,#REF!,#REF!,"Not Found")</f>
        <v>#REF!</v>
      </c>
      <c r="K17" cm="1">
        <f t="array" ref="K17">SUMPRODUCT(--('downtime clean'!$A$2:$A$39&amp;""=C17&amp;""),'downtime clean'!$M$2:$M$39)</f>
        <v>44</v>
      </c>
      <c r="L17" t="e">
        <f t="shared" si="1"/>
        <v>#REF!</v>
      </c>
      <c r="M17" t="e">
        <f t="shared" si="2"/>
        <v>#REF!</v>
      </c>
      <c r="N17" t="str">
        <f t="shared" si="3"/>
        <v>Evening Shift</v>
      </c>
    </row>
    <row r="18" spans="1:14" x14ac:dyDescent="0.35">
      <c r="A18" s="1">
        <v>45534</v>
      </c>
      <c r="B18" t="s">
        <v>17</v>
      </c>
      <c r="C18">
        <v>422127</v>
      </c>
      <c r="D18" t="s">
        <v>13</v>
      </c>
      <c r="E18" s="2">
        <v>0.79097222222222219</v>
      </c>
      <c r="F18" s="2" t="s">
        <v>29</v>
      </c>
      <c r="G18">
        <f t="shared" si="0"/>
        <v>83.000000000000028</v>
      </c>
      <c r="H18" t="e">
        <f>_xlfn.XLOOKUP(B18,#REF!,#REF!,"Not Found")</f>
        <v>#REF!</v>
      </c>
      <c r="I18" t="e">
        <f>_xlfn.XLOOKUP(B18,#REF!,#REF!,"Not Found")</f>
        <v>#REF!</v>
      </c>
      <c r="J18" t="e">
        <f>_xlfn.XLOOKUP(B18,#REF!,#REF!,"Not Found")</f>
        <v>#REF!</v>
      </c>
      <c r="K18" cm="1">
        <f t="array" ref="K18">SUMPRODUCT(--('downtime clean'!$A$2:$A$39&amp;""=C18&amp;""),'downtime clean'!$M$2:$M$39)</f>
        <v>23</v>
      </c>
      <c r="L18" t="e">
        <f t="shared" si="1"/>
        <v>#REF!</v>
      </c>
      <c r="M18" t="e">
        <f t="shared" si="2"/>
        <v>#REF!</v>
      </c>
      <c r="N18" t="str">
        <f t="shared" si="3"/>
        <v>Evening Shift</v>
      </c>
    </row>
    <row r="19" spans="1:14" x14ac:dyDescent="0.35">
      <c r="A19" s="1">
        <v>45534</v>
      </c>
      <c r="B19" t="s">
        <v>17</v>
      </c>
      <c r="C19">
        <v>422128</v>
      </c>
      <c r="D19" t="s">
        <v>13</v>
      </c>
      <c r="E19" s="2">
        <v>0.84861111111111109</v>
      </c>
      <c r="F19" s="2" t="s">
        <v>30</v>
      </c>
      <c r="G19">
        <f t="shared" si="0"/>
        <v>112.00000000000009</v>
      </c>
      <c r="H19" t="e">
        <f>_xlfn.XLOOKUP(B19,#REF!,#REF!,"Not Found")</f>
        <v>#REF!</v>
      </c>
      <c r="I19" t="e">
        <f>_xlfn.XLOOKUP(B19,#REF!,#REF!,"Not Found")</f>
        <v>#REF!</v>
      </c>
      <c r="J19" t="e">
        <f>_xlfn.XLOOKUP(B19,#REF!,#REF!,"Not Found")</f>
        <v>#REF!</v>
      </c>
      <c r="K19" cm="1">
        <f t="array" ref="K19">SUMPRODUCT(--('downtime clean'!$A$2:$A$39&amp;""=C19&amp;""),'downtime clean'!$M$2:$M$39)</f>
        <v>52</v>
      </c>
      <c r="L19" t="e">
        <f t="shared" si="1"/>
        <v>#REF!</v>
      </c>
      <c r="M19" t="e">
        <f t="shared" si="2"/>
        <v>#REF!</v>
      </c>
      <c r="N19" t="str">
        <f t="shared" si="3"/>
        <v>Evening Shift</v>
      </c>
    </row>
    <row r="20" spans="1:14" x14ac:dyDescent="0.35">
      <c r="A20" s="1">
        <v>45534</v>
      </c>
      <c r="B20" t="s">
        <v>17</v>
      </c>
      <c r="C20">
        <v>422129</v>
      </c>
      <c r="D20" t="s">
        <v>13</v>
      </c>
      <c r="E20" s="2">
        <v>0.92638888888888893</v>
      </c>
      <c r="F20" s="2" t="s">
        <v>31</v>
      </c>
      <c r="G20">
        <f t="shared" si="0"/>
        <v>74.999999999999886</v>
      </c>
      <c r="H20" t="e">
        <f>_xlfn.XLOOKUP(B20,#REF!,#REF!,"Not Found")</f>
        <v>#REF!</v>
      </c>
      <c r="I20" t="e">
        <f>_xlfn.XLOOKUP(B20,#REF!,#REF!,"Not Found")</f>
        <v>#REF!</v>
      </c>
      <c r="J20" t="e">
        <f>_xlfn.XLOOKUP(B20,#REF!,#REF!,"Not Found")</f>
        <v>#REF!</v>
      </c>
      <c r="K20" cm="1">
        <f t="array" ref="K20">SUMPRODUCT(--('downtime clean'!$A$2:$A$39&amp;""=C20&amp;""),'downtime clean'!$M$2:$M$39)</f>
        <v>15</v>
      </c>
      <c r="L20" t="e">
        <f t="shared" si="1"/>
        <v>#REF!</v>
      </c>
      <c r="M20" t="e">
        <f t="shared" si="2"/>
        <v>#REF!</v>
      </c>
      <c r="N20" t="str">
        <f t="shared" si="3"/>
        <v>Evening Shift</v>
      </c>
    </row>
    <row r="21" spans="1:14" x14ac:dyDescent="0.35">
      <c r="A21" s="1">
        <v>45535</v>
      </c>
      <c r="B21" t="s">
        <v>17</v>
      </c>
      <c r="C21">
        <v>422130</v>
      </c>
      <c r="D21" t="s">
        <v>18</v>
      </c>
      <c r="E21" s="2">
        <v>0.32291666666666669</v>
      </c>
      <c r="F21" s="2" t="s">
        <v>32</v>
      </c>
      <c r="G21">
        <f t="shared" si="0"/>
        <v>79.999999999999957</v>
      </c>
      <c r="H21" t="e">
        <f>_xlfn.XLOOKUP(B21,#REF!,#REF!,"Not Found")</f>
        <v>#REF!</v>
      </c>
      <c r="I21" t="e">
        <f>_xlfn.XLOOKUP(B21,#REF!,#REF!,"Not Found")</f>
        <v>#REF!</v>
      </c>
      <c r="J21" t="e">
        <f>_xlfn.XLOOKUP(B21,#REF!,#REF!,"Not Found")</f>
        <v>#REF!</v>
      </c>
      <c r="K21" cm="1">
        <f t="array" ref="K21">SUMPRODUCT(--('downtime clean'!$A$2:$A$39&amp;""=C21&amp;""),'downtime clean'!$M$2:$M$39)</f>
        <v>20</v>
      </c>
      <c r="L21" t="e">
        <f t="shared" si="1"/>
        <v>#REF!</v>
      </c>
      <c r="M21" t="e">
        <f t="shared" si="2"/>
        <v>#REF!</v>
      </c>
      <c r="N21" t="str">
        <f t="shared" si="3"/>
        <v>Night Shift</v>
      </c>
    </row>
    <row r="22" spans="1:14" x14ac:dyDescent="0.35">
      <c r="A22" s="1">
        <v>45535</v>
      </c>
      <c r="B22" t="s">
        <v>17</v>
      </c>
      <c r="C22">
        <v>422131</v>
      </c>
      <c r="D22" t="s">
        <v>18</v>
      </c>
      <c r="E22" s="2">
        <v>0.37847222222222221</v>
      </c>
      <c r="F22" s="2" t="s">
        <v>33</v>
      </c>
      <c r="G22">
        <f t="shared" si="0"/>
        <v>90</v>
      </c>
      <c r="H22" t="e">
        <f>_xlfn.XLOOKUP(B22,#REF!,#REF!,"Not Found")</f>
        <v>#REF!</v>
      </c>
      <c r="I22" t="e">
        <f>_xlfn.XLOOKUP(B22,#REF!,#REF!,"Not Found")</f>
        <v>#REF!</v>
      </c>
      <c r="J22" t="e">
        <f>_xlfn.XLOOKUP(B22,#REF!,#REF!,"Not Found")</f>
        <v>#REF!</v>
      </c>
      <c r="K22" cm="1">
        <f t="array" ref="K22">SUMPRODUCT(--('downtime clean'!$A$2:$A$39&amp;""=C22&amp;""),'downtime clean'!$M$2:$M$39)</f>
        <v>30</v>
      </c>
      <c r="L22" t="e">
        <f t="shared" si="1"/>
        <v>#REF!</v>
      </c>
      <c r="M22" t="e">
        <f t="shared" si="2"/>
        <v>#REF!</v>
      </c>
      <c r="N22" t="str">
        <f t="shared" si="3"/>
        <v>Morning Shift</v>
      </c>
    </row>
    <row r="23" spans="1:14" x14ac:dyDescent="0.35">
      <c r="A23" s="1">
        <v>45535</v>
      </c>
      <c r="B23" t="s">
        <v>17</v>
      </c>
      <c r="C23">
        <v>422132</v>
      </c>
      <c r="D23" t="s">
        <v>18</v>
      </c>
      <c r="E23" s="2">
        <v>0.44097222222222221</v>
      </c>
      <c r="F23" s="2" t="s">
        <v>34</v>
      </c>
      <c r="G23">
        <f t="shared" si="0"/>
        <v>60.000000000000028</v>
      </c>
      <c r="H23" t="e">
        <f>_xlfn.XLOOKUP(B23,#REF!,#REF!,"Not Found")</f>
        <v>#REF!</v>
      </c>
      <c r="I23" t="e">
        <f>_xlfn.XLOOKUP(B23,#REF!,#REF!,"Not Found")</f>
        <v>#REF!</v>
      </c>
      <c r="J23" t="e">
        <f>_xlfn.XLOOKUP(B23,#REF!,#REF!,"Not Found")</f>
        <v>#REF!</v>
      </c>
      <c r="K23" cm="1">
        <f t="array" ref="K23">SUMPRODUCT(--('downtime clean'!$A$2:$A$39&amp;""=C23&amp;""),'downtime clean'!$M$2:$M$39)</f>
        <v>0</v>
      </c>
      <c r="L23" t="e">
        <f t="shared" si="1"/>
        <v>#REF!</v>
      </c>
      <c r="M23" t="e">
        <f t="shared" si="2"/>
        <v>#REF!</v>
      </c>
      <c r="N23" t="str">
        <f t="shared" si="3"/>
        <v>Morning Shift</v>
      </c>
    </row>
    <row r="24" spans="1:14" x14ac:dyDescent="0.35">
      <c r="A24" s="1">
        <v>45535</v>
      </c>
      <c r="B24" t="s">
        <v>35</v>
      </c>
      <c r="C24">
        <v>422133</v>
      </c>
      <c r="D24" t="s">
        <v>18</v>
      </c>
      <c r="E24" s="2">
        <v>0.4826388888888889</v>
      </c>
      <c r="F24" s="2" t="s">
        <v>36</v>
      </c>
      <c r="G24">
        <f t="shared" si="0"/>
        <v>79.999999999999957</v>
      </c>
      <c r="H24" t="e">
        <f>_xlfn.XLOOKUP(B24,#REF!,#REF!,"Not Found")</f>
        <v>#REF!</v>
      </c>
      <c r="I24" t="e">
        <f>_xlfn.XLOOKUP(B24,#REF!,#REF!,"Not Found")</f>
        <v>#REF!</v>
      </c>
      <c r="J24" t="e">
        <f>_xlfn.XLOOKUP(B24,#REF!,#REF!,"Not Found")</f>
        <v>#REF!</v>
      </c>
      <c r="K24" cm="1">
        <f t="array" ref="K24">SUMPRODUCT(--('downtime clean'!$A$2:$A$39&amp;""=C24&amp;""),'downtime clean'!$M$2:$M$39)</f>
        <v>20</v>
      </c>
      <c r="L24" t="e">
        <f t="shared" si="1"/>
        <v>#REF!</v>
      </c>
      <c r="M24" t="e">
        <f t="shared" si="2"/>
        <v>#REF!</v>
      </c>
      <c r="N24" t="str">
        <f t="shared" si="3"/>
        <v>Morning Shift</v>
      </c>
    </row>
    <row r="25" spans="1:14" x14ac:dyDescent="0.35">
      <c r="A25" s="1">
        <v>45535</v>
      </c>
      <c r="B25" t="s">
        <v>35</v>
      </c>
      <c r="C25">
        <v>422134</v>
      </c>
      <c r="D25" t="s">
        <v>7</v>
      </c>
      <c r="E25" s="2">
        <v>0.53819444444444442</v>
      </c>
      <c r="F25" s="2" t="s">
        <v>37</v>
      </c>
      <c r="G25">
        <f t="shared" si="0"/>
        <v>110.00000000000009</v>
      </c>
      <c r="H25" t="e">
        <f>_xlfn.XLOOKUP(B25,#REF!,#REF!,"Not Found")</f>
        <v>#REF!</v>
      </c>
      <c r="I25" t="e">
        <f>_xlfn.XLOOKUP(B25,#REF!,#REF!,"Not Found")</f>
        <v>#REF!</v>
      </c>
      <c r="J25" t="e">
        <f>_xlfn.XLOOKUP(B25,#REF!,#REF!,"Not Found")</f>
        <v>#REF!</v>
      </c>
      <c r="K25" cm="1">
        <f t="array" ref="K25">SUMPRODUCT(--('downtime clean'!$A$2:$A$39&amp;""=C25&amp;""),'downtime clean'!$M$2:$M$39)</f>
        <v>50</v>
      </c>
      <c r="L25" t="e">
        <f t="shared" si="1"/>
        <v>#REF!</v>
      </c>
      <c r="M25" t="e">
        <f t="shared" si="2"/>
        <v>#REF!</v>
      </c>
      <c r="N25" t="str">
        <f t="shared" si="3"/>
        <v>Morning Shift</v>
      </c>
    </row>
    <row r="26" spans="1:14" x14ac:dyDescent="0.35">
      <c r="A26" s="1">
        <v>45535</v>
      </c>
      <c r="B26" t="s">
        <v>35</v>
      </c>
      <c r="C26">
        <v>422135</v>
      </c>
      <c r="D26" t="s">
        <v>7</v>
      </c>
      <c r="E26" s="2">
        <v>0.61458333333333337</v>
      </c>
      <c r="F26" s="2" t="s">
        <v>38</v>
      </c>
      <c r="G26">
        <f t="shared" si="0"/>
        <v>104.99999999999994</v>
      </c>
      <c r="H26" t="e">
        <f>_xlfn.XLOOKUP(B26,#REF!,#REF!,"Not Found")</f>
        <v>#REF!</v>
      </c>
      <c r="I26" t="e">
        <f>_xlfn.XLOOKUP(B26,#REF!,#REF!,"Not Found")</f>
        <v>#REF!</v>
      </c>
      <c r="J26" t="e">
        <f>_xlfn.XLOOKUP(B26,#REF!,#REF!,"Not Found")</f>
        <v>#REF!</v>
      </c>
      <c r="K26" cm="1">
        <f t="array" ref="K26">SUMPRODUCT(--('downtime clean'!$A$2:$A$39&amp;""=C26&amp;""),'downtime clean'!$M$2:$M$39)</f>
        <v>45</v>
      </c>
      <c r="L26" t="e">
        <f t="shared" si="1"/>
        <v>#REF!</v>
      </c>
      <c r="M26" t="e">
        <f t="shared" si="2"/>
        <v>#REF!</v>
      </c>
      <c r="N26" t="str">
        <f t="shared" si="3"/>
        <v>Morning Shift</v>
      </c>
    </row>
    <row r="27" spans="1:14" x14ac:dyDescent="0.35">
      <c r="A27" s="1">
        <v>45535</v>
      </c>
      <c r="B27" t="s">
        <v>35</v>
      </c>
      <c r="C27">
        <v>422136</v>
      </c>
      <c r="D27" t="s">
        <v>7</v>
      </c>
      <c r="E27" s="2">
        <v>0.6875</v>
      </c>
      <c r="F27" s="2" t="s">
        <v>39</v>
      </c>
      <c r="G27">
        <f t="shared" si="0"/>
        <v>59.999999999999943</v>
      </c>
      <c r="H27" t="e">
        <f>_xlfn.XLOOKUP(B27,#REF!,#REF!,"Not Found")</f>
        <v>#REF!</v>
      </c>
      <c r="I27" t="e">
        <f>_xlfn.XLOOKUP(B27,#REF!,#REF!,"Not Found")</f>
        <v>#REF!</v>
      </c>
      <c r="J27" t="e">
        <f>_xlfn.XLOOKUP(B27,#REF!,#REF!,"Not Found")</f>
        <v>#REF!</v>
      </c>
      <c r="K27" cm="1">
        <f t="array" ref="K27">SUMPRODUCT(--('downtime clean'!$A$2:$A$39&amp;""=C27&amp;""),'downtime clean'!$M$2:$M$39)</f>
        <v>0</v>
      </c>
      <c r="L27" t="e">
        <f t="shared" si="1"/>
        <v>#REF!</v>
      </c>
      <c r="M27" t="e">
        <f t="shared" si="2"/>
        <v>#REF!</v>
      </c>
      <c r="N27" t="str">
        <f t="shared" si="3"/>
        <v>Evening Shift</v>
      </c>
    </row>
    <row r="28" spans="1:14" x14ac:dyDescent="0.35">
      <c r="A28" s="1">
        <v>45537</v>
      </c>
      <c r="B28" t="s">
        <v>40</v>
      </c>
      <c r="C28">
        <v>422144</v>
      </c>
      <c r="D28" t="s">
        <v>22</v>
      </c>
      <c r="E28" s="2">
        <v>0.51249999999999996</v>
      </c>
      <c r="F28" s="2" t="s">
        <v>41</v>
      </c>
      <c r="G28">
        <f t="shared" si="0"/>
        <v>152.00000000000011</v>
      </c>
      <c r="H28" t="e">
        <f>_xlfn.XLOOKUP(B28,#REF!,#REF!,"Not Found")</f>
        <v>#REF!</v>
      </c>
      <c r="I28" t="e">
        <f>_xlfn.XLOOKUP(B28,#REF!,#REF!,"Not Found")</f>
        <v>#REF!</v>
      </c>
      <c r="J28" t="e">
        <f>_xlfn.XLOOKUP(B28,#REF!,#REF!,"Not Found")</f>
        <v>#REF!</v>
      </c>
      <c r="K28" cm="1">
        <f t="array" ref="K28">SUMPRODUCT(--('downtime clean'!$A$2:$A$39&amp;""=C28&amp;""),'downtime clean'!$M$2:$M$39)</f>
        <v>54</v>
      </c>
      <c r="L28" t="e">
        <f t="shared" si="1"/>
        <v>#REF!</v>
      </c>
      <c r="M28" t="e">
        <f t="shared" si="2"/>
        <v>#REF!</v>
      </c>
      <c r="N28" t="str">
        <f t="shared" si="3"/>
        <v>Morning Shift</v>
      </c>
    </row>
    <row r="29" spans="1:14" x14ac:dyDescent="0.35">
      <c r="A29" s="1">
        <v>45537</v>
      </c>
      <c r="B29" t="s">
        <v>40</v>
      </c>
      <c r="C29">
        <v>422145</v>
      </c>
      <c r="D29" t="s">
        <v>13</v>
      </c>
      <c r="E29" s="2">
        <v>0.61805555555555558</v>
      </c>
      <c r="F29" s="2" t="s">
        <v>42</v>
      </c>
      <c r="G29">
        <f t="shared" si="0"/>
        <v>119.99999999999989</v>
      </c>
      <c r="H29" t="e">
        <f>_xlfn.XLOOKUP(B29,#REF!,#REF!,"Not Found")</f>
        <v>#REF!</v>
      </c>
      <c r="I29" t="e">
        <f>_xlfn.XLOOKUP(B29,#REF!,#REF!,"Not Found")</f>
        <v>#REF!</v>
      </c>
      <c r="J29" t="e">
        <f>_xlfn.XLOOKUP(B29,#REF!,#REF!,"Not Found")</f>
        <v>#REF!</v>
      </c>
      <c r="K29" cm="1">
        <f t="array" ref="K29">SUMPRODUCT(--('downtime clean'!$A$2:$A$39&amp;""=C29&amp;""),'downtime clean'!$M$2:$M$39)</f>
        <v>22</v>
      </c>
      <c r="L29" t="e">
        <f t="shared" si="1"/>
        <v>#REF!</v>
      </c>
      <c r="M29" t="e">
        <f t="shared" si="2"/>
        <v>#REF!</v>
      </c>
      <c r="N29" t="str">
        <f t="shared" si="3"/>
        <v>Morning Shift</v>
      </c>
    </row>
    <row r="30" spans="1:14" x14ac:dyDescent="0.35">
      <c r="A30" s="1">
        <v>45537</v>
      </c>
      <c r="B30" t="s">
        <v>40</v>
      </c>
      <c r="C30">
        <v>422146</v>
      </c>
      <c r="D30" t="s">
        <v>13</v>
      </c>
      <c r="E30" s="2">
        <v>0.70138888888888884</v>
      </c>
      <c r="F30" s="2" t="s">
        <v>43</v>
      </c>
      <c r="G30">
        <f t="shared" si="0"/>
        <v>160.00000000000006</v>
      </c>
      <c r="H30" t="e">
        <f>_xlfn.XLOOKUP(B30,#REF!,#REF!,"Not Found")</f>
        <v>#REF!</v>
      </c>
      <c r="I30" t="e">
        <f>_xlfn.XLOOKUP(B30,#REF!,#REF!,"Not Found")</f>
        <v>#REF!</v>
      </c>
      <c r="J30" t="e">
        <f>_xlfn.XLOOKUP(B30,#REF!,#REF!,"Not Found")</f>
        <v>#REF!</v>
      </c>
      <c r="K30" cm="1">
        <f t="array" ref="K30">SUMPRODUCT(--('downtime clean'!$A$2:$A$39&amp;""=C30&amp;""),'downtime clean'!$M$2:$M$39)</f>
        <v>62</v>
      </c>
      <c r="L30" t="e">
        <f t="shared" si="1"/>
        <v>#REF!</v>
      </c>
      <c r="M30" t="e">
        <f t="shared" si="2"/>
        <v>#REF!</v>
      </c>
      <c r="N30" t="str">
        <f t="shared" si="3"/>
        <v>Evening Shift</v>
      </c>
    </row>
    <row r="31" spans="1:14" x14ac:dyDescent="0.35">
      <c r="A31" s="1">
        <v>45537</v>
      </c>
      <c r="B31" t="s">
        <v>40</v>
      </c>
      <c r="C31">
        <v>422147</v>
      </c>
      <c r="D31" t="s">
        <v>13</v>
      </c>
      <c r="E31" s="2">
        <v>0.8125</v>
      </c>
      <c r="F31" s="2" t="s">
        <v>44</v>
      </c>
      <c r="G31">
        <f t="shared" si="0"/>
        <v>205.00000000000006</v>
      </c>
      <c r="H31" t="e">
        <f>_xlfn.XLOOKUP(B31,#REF!,#REF!,"Not Found")</f>
        <v>#REF!</v>
      </c>
      <c r="I31" t="e">
        <f>_xlfn.XLOOKUP(B31,#REF!,#REF!,"Not Found")</f>
        <v>#REF!</v>
      </c>
      <c r="J31" t="e">
        <f>_xlfn.XLOOKUP(B31,#REF!,#REF!,"Not Found")</f>
        <v>#REF!</v>
      </c>
      <c r="K31" cm="1">
        <f t="array" ref="K31">SUMPRODUCT(--('downtime clean'!$A$2:$A$39&amp;""=C31&amp;""),'downtime clean'!$M$2:$M$39)</f>
        <v>107</v>
      </c>
      <c r="L31" t="e">
        <f t="shared" si="1"/>
        <v>#REF!</v>
      </c>
      <c r="M31" t="e">
        <f t="shared" si="2"/>
        <v>#REF!</v>
      </c>
      <c r="N31" t="str">
        <f t="shared" si="3"/>
        <v>Evening Shift</v>
      </c>
    </row>
    <row r="32" spans="1:14" x14ac:dyDescent="0.35">
      <c r="A32" s="1">
        <v>45538</v>
      </c>
      <c r="B32" t="s">
        <v>40</v>
      </c>
      <c r="C32">
        <v>422148</v>
      </c>
      <c r="D32" t="s">
        <v>7</v>
      </c>
      <c r="E32" s="2">
        <v>0.95486111111111116</v>
      </c>
      <c r="F32" s="2" t="s">
        <v>45</v>
      </c>
      <c r="G32">
        <f t="shared" si="0"/>
        <v>129.99999999999986</v>
      </c>
      <c r="H32" t="e">
        <f>_xlfn.XLOOKUP(B32,#REF!,#REF!,"Not Found")</f>
        <v>#REF!</v>
      </c>
      <c r="I32" t="e">
        <f>_xlfn.XLOOKUP(B32,#REF!,#REF!,"Not Found")</f>
        <v>#REF!</v>
      </c>
      <c r="J32" t="e">
        <f>_xlfn.XLOOKUP(B32,#REF!,#REF!,"Not Found")</f>
        <v>#REF!</v>
      </c>
      <c r="K32" cm="1">
        <f t="array" ref="K32">SUMPRODUCT(--('downtime clean'!$A$2:$A$39&amp;""=C32&amp;""),'downtime clean'!$M$2:$M$39)</f>
        <v>32</v>
      </c>
      <c r="L32" t="e">
        <f t="shared" si="1"/>
        <v>#REF!</v>
      </c>
      <c r="M32" t="e">
        <f t="shared" si="2"/>
        <v>#REF!</v>
      </c>
      <c r="N32" t="str">
        <f t="shared" si="3"/>
        <v>Evening Shift</v>
      </c>
    </row>
  </sheetData>
  <conditionalFormatting sqref="C2:C3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7CB-DF59-43C1-8E16-ADAFF724A69A}">
  <dimension ref="A1:M39"/>
  <sheetViews>
    <sheetView topLeftCell="C1" workbookViewId="0">
      <selection activeCell="O38" sqref="O38"/>
    </sheetView>
  </sheetViews>
  <sheetFormatPr defaultRowHeight="14.5" x14ac:dyDescent="0.35"/>
  <cols>
    <col min="1" max="1" width="7.81640625" bestFit="1" customWidth="1"/>
    <col min="2" max="9" width="9.81640625" bestFit="1" customWidth="1"/>
    <col min="10" max="12" width="10.81640625" bestFit="1" customWidth="1"/>
  </cols>
  <sheetData>
    <row r="1" spans="1:13" x14ac:dyDescent="0.35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153</v>
      </c>
    </row>
    <row r="2" spans="1:13" x14ac:dyDescent="0.35">
      <c r="A2" t="s">
        <v>57</v>
      </c>
      <c r="B2">
        <v>60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f>SUM(B2:L2)</f>
        <v>75</v>
      </c>
    </row>
    <row r="3" spans="1:13" x14ac:dyDescent="0.35">
      <c r="A3" t="s">
        <v>59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f t="shared" ref="M3:M39" si="0">SUM(B3:L3)</f>
        <v>40</v>
      </c>
    </row>
    <row r="4" spans="1:13" x14ac:dyDescent="0.35">
      <c r="A4" t="s">
        <v>60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50</v>
      </c>
    </row>
    <row r="5" spans="1:13" x14ac:dyDescent="0.35">
      <c r="A5" t="s">
        <v>61</v>
      </c>
      <c r="B5">
        <v>0</v>
      </c>
      <c r="C5">
        <v>0</v>
      </c>
      <c r="D5">
        <v>25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40</v>
      </c>
    </row>
    <row r="6" spans="1:13" x14ac:dyDescent="0.35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0</v>
      </c>
      <c r="L6">
        <v>0</v>
      </c>
      <c r="M6">
        <f t="shared" si="0"/>
        <v>24</v>
      </c>
    </row>
    <row r="7" spans="1:13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5">
      <c r="A8" t="s">
        <v>64</v>
      </c>
      <c r="B8">
        <v>10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15</v>
      </c>
    </row>
    <row r="9" spans="1:13" x14ac:dyDescent="0.35">
      <c r="A9" t="s">
        <v>65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  <c r="J9">
        <v>0</v>
      </c>
      <c r="K9">
        <v>10</v>
      </c>
      <c r="L9">
        <v>20</v>
      </c>
      <c r="M9">
        <f t="shared" si="0"/>
        <v>60</v>
      </c>
    </row>
    <row r="10" spans="1:13" x14ac:dyDescent="0.35">
      <c r="A10" t="s">
        <v>66</v>
      </c>
      <c r="B10">
        <v>0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25</v>
      </c>
    </row>
    <row r="11" spans="1:13" x14ac:dyDescent="0.35">
      <c r="A11" t="s">
        <v>67</v>
      </c>
      <c r="B11">
        <v>0</v>
      </c>
      <c r="C11">
        <v>0</v>
      </c>
      <c r="D11">
        <v>20</v>
      </c>
      <c r="E11">
        <v>15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f t="shared" si="0"/>
        <v>52</v>
      </c>
    </row>
    <row r="12" spans="1:13" x14ac:dyDescent="0.3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15</v>
      </c>
    </row>
    <row r="13" spans="1:13" x14ac:dyDescent="0.3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25</v>
      </c>
    </row>
    <row r="14" spans="1:13" x14ac:dyDescent="0.35">
      <c r="A14" t="s">
        <v>70</v>
      </c>
      <c r="B14">
        <v>0</v>
      </c>
      <c r="C14">
        <v>0</v>
      </c>
      <c r="D14">
        <v>43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73</v>
      </c>
    </row>
    <row r="15" spans="1:13" x14ac:dyDescent="0.35">
      <c r="A15" t="s">
        <v>71</v>
      </c>
      <c r="B15">
        <v>0</v>
      </c>
      <c r="C15">
        <v>0</v>
      </c>
      <c r="D15">
        <v>0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40</v>
      </c>
    </row>
    <row r="16" spans="1:13" x14ac:dyDescent="0.35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>
        <f t="shared" si="0"/>
        <v>20</v>
      </c>
    </row>
    <row r="17" spans="1:13" x14ac:dyDescent="0.35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44</v>
      </c>
      <c r="I17">
        <v>0</v>
      </c>
      <c r="J17">
        <v>0</v>
      </c>
      <c r="K17">
        <v>0</v>
      </c>
      <c r="L17">
        <v>0</v>
      </c>
      <c r="M17">
        <f t="shared" si="0"/>
        <v>44</v>
      </c>
    </row>
    <row r="18" spans="1:13" x14ac:dyDescent="0.35">
      <c r="A18" t="s">
        <v>74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23</v>
      </c>
    </row>
    <row r="19" spans="1:13" x14ac:dyDescent="0.35">
      <c r="A19" t="s">
        <v>75</v>
      </c>
      <c r="B19">
        <v>0</v>
      </c>
      <c r="C19">
        <v>0</v>
      </c>
      <c r="D19">
        <v>0</v>
      </c>
      <c r="E19">
        <v>22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52</v>
      </c>
    </row>
    <row r="20" spans="1:13" x14ac:dyDescent="0.35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f t="shared" si="0"/>
        <v>15</v>
      </c>
    </row>
    <row r="21" spans="1:13" x14ac:dyDescent="0.35">
      <c r="A21" t="s">
        <v>77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20</v>
      </c>
    </row>
    <row r="22" spans="1:13" x14ac:dyDescent="0.35">
      <c r="A22" t="s">
        <v>78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10</v>
      </c>
      <c r="K22">
        <v>0</v>
      </c>
      <c r="L22">
        <v>0</v>
      </c>
      <c r="M22">
        <f t="shared" si="0"/>
        <v>30</v>
      </c>
    </row>
    <row r="23" spans="1:13" x14ac:dyDescent="0.35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3" x14ac:dyDescent="0.35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20</v>
      </c>
    </row>
    <row r="25" spans="1:13" x14ac:dyDescent="0.3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  <c r="H25">
        <v>20</v>
      </c>
      <c r="I25">
        <v>0</v>
      </c>
      <c r="J25">
        <v>0</v>
      </c>
      <c r="K25">
        <v>0</v>
      </c>
      <c r="L25">
        <v>0</v>
      </c>
      <c r="M25">
        <f t="shared" si="0"/>
        <v>50</v>
      </c>
    </row>
    <row r="26" spans="1:13" x14ac:dyDescent="0.35">
      <c r="A26" t="s">
        <v>82</v>
      </c>
      <c r="B26">
        <v>0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f t="shared" si="0"/>
        <v>45</v>
      </c>
    </row>
    <row r="27" spans="1:13" x14ac:dyDescent="0.3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</row>
    <row r="28" spans="1:13" x14ac:dyDescent="0.3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15</v>
      </c>
      <c r="K28">
        <v>0</v>
      </c>
      <c r="L28">
        <v>0</v>
      </c>
      <c r="M28">
        <f t="shared" si="0"/>
        <v>45</v>
      </c>
    </row>
    <row r="29" spans="1:13" x14ac:dyDescent="0.35">
      <c r="A29" t="s">
        <v>85</v>
      </c>
      <c r="B29">
        <v>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20</v>
      </c>
    </row>
    <row r="30" spans="1:13" x14ac:dyDescent="0.35">
      <c r="A30" t="s">
        <v>86</v>
      </c>
      <c r="B30">
        <v>0</v>
      </c>
      <c r="C30">
        <v>0</v>
      </c>
      <c r="D30">
        <v>20</v>
      </c>
      <c r="E30">
        <v>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35</v>
      </c>
    </row>
    <row r="31" spans="1:13" x14ac:dyDescent="0.35">
      <c r="A31" t="s">
        <v>87</v>
      </c>
      <c r="B31">
        <v>0</v>
      </c>
      <c r="C31">
        <v>0</v>
      </c>
      <c r="D31">
        <v>0</v>
      </c>
      <c r="E31">
        <v>0</v>
      </c>
      <c r="F31">
        <v>50</v>
      </c>
      <c r="G31">
        <v>0</v>
      </c>
      <c r="H31">
        <v>0</v>
      </c>
      <c r="I31">
        <v>0</v>
      </c>
      <c r="J31">
        <v>0</v>
      </c>
      <c r="K31">
        <v>13</v>
      </c>
      <c r="L31">
        <v>0</v>
      </c>
      <c r="M31">
        <f t="shared" si="0"/>
        <v>63</v>
      </c>
    </row>
    <row r="32" spans="1:13" x14ac:dyDescent="0.35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f t="shared" si="0"/>
        <v>7</v>
      </c>
    </row>
    <row r="33" spans="1:13" x14ac:dyDescent="0.35">
      <c r="A33" t="s">
        <v>89</v>
      </c>
      <c r="B33">
        <v>0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30</v>
      </c>
    </row>
    <row r="34" spans="1:13" x14ac:dyDescent="0.35">
      <c r="A34" t="s">
        <v>90</v>
      </c>
      <c r="B34">
        <v>0</v>
      </c>
      <c r="C34">
        <v>0</v>
      </c>
      <c r="D34">
        <v>0</v>
      </c>
      <c r="E34">
        <v>0</v>
      </c>
      <c r="F34">
        <v>40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58</v>
      </c>
    </row>
    <row r="35" spans="1:13" x14ac:dyDescent="0.35">
      <c r="A35" t="s">
        <v>91</v>
      </c>
      <c r="B35">
        <v>0</v>
      </c>
      <c r="C35">
        <v>0</v>
      </c>
      <c r="D35">
        <v>0</v>
      </c>
      <c r="E35">
        <v>0</v>
      </c>
      <c r="F35">
        <v>30</v>
      </c>
      <c r="G35">
        <v>0</v>
      </c>
      <c r="H35">
        <v>24</v>
      </c>
      <c r="I35">
        <v>0</v>
      </c>
      <c r="J35">
        <v>0</v>
      </c>
      <c r="K35">
        <v>0</v>
      </c>
      <c r="L35">
        <v>0</v>
      </c>
      <c r="M35">
        <f t="shared" si="0"/>
        <v>54</v>
      </c>
    </row>
    <row r="36" spans="1:13" x14ac:dyDescent="0.35">
      <c r="A36" t="s">
        <v>92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22</v>
      </c>
    </row>
    <row r="37" spans="1:13" x14ac:dyDescent="0.35">
      <c r="A37" t="s">
        <v>93</v>
      </c>
      <c r="B37">
        <v>0</v>
      </c>
      <c r="C37">
        <v>0</v>
      </c>
      <c r="D37">
        <v>0</v>
      </c>
      <c r="E37">
        <v>0</v>
      </c>
      <c r="F37">
        <v>30</v>
      </c>
      <c r="G37">
        <v>25</v>
      </c>
      <c r="H37">
        <v>0</v>
      </c>
      <c r="I37">
        <v>0</v>
      </c>
      <c r="J37">
        <v>0</v>
      </c>
      <c r="K37">
        <v>0</v>
      </c>
      <c r="L37">
        <v>7</v>
      </c>
      <c r="M37">
        <f t="shared" si="0"/>
        <v>62</v>
      </c>
    </row>
    <row r="38" spans="1:13" x14ac:dyDescent="0.35">
      <c r="A38" t="s">
        <v>94</v>
      </c>
      <c r="B38">
        <v>0</v>
      </c>
      <c r="C38">
        <v>0</v>
      </c>
      <c r="D38">
        <v>17</v>
      </c>
      <c r="E38">
        <v>0</v>
      </c>
      <c r="F38">
        <v>60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107</v>
      </c>
    </row>
    <row r="39" spans="1:13" x14ac:dyDescent="0.35">
      <c r="A39" t="s">
        <v>95</v>
      </c>
      <c r="B39">
        <v>0</v>
      </c>
      <c r="C39">
        <v>0</v>
      </c>
      <c r="D39">
        <v>25</v>
      </c>
      <c r="E39">
        <v>0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f t="shared" si="0"/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3C9-D868-4C3F-8AFE-C8CD98C5EEE8}">
  <dimension ref="A1:C13"/>
  <sheetViews>
    <sheetView tabSelected="1" workbookViewId="0"/>
  </sheetViews>
  <sheetFormatPr defaultRowHeight="14.5" x14ac:dyDescent="0.35"/>
  <cols>
    <col min="1" max="1" width="8.36328125" bestFit="1" customWidth="1"/>
    <col min="2" max="2" width="18.08984375" bestFit="1" customWidth="1"/>
    <col min="3" max="3" width="15.6328125" bestFit="1" customWidth="1"/>
  </cols>
  <sheetData>
    <row r="1" spans="1:3" x14ac:dyDescent="0.35">
      <c r="A1" t="s">
        <v>99</v>
      </c>
      <c r="B1" t="s">
        <v>100</v>
      </c>
      <c r="C1" t="s">
        <v>101</v>
      </c>
    </row>
    <row r="2" spans="1:3" x14ac:dyDescent="0.35">
      <c r="A2">
        <v>1</v>
      </c>
      <c r="B2" t="s">
        <v>102</v>
      </c>
      <c r="C2" t="s">
        <v>103</v>
      </c>
    </row>
    <row r="3" spans="1:3" x14ac:dyDescent="0.35">
      <c r="A3">
        <v>2</v>
      </c>
      <c r="B3" t="s">
        <v>104</v>
      </c>
      <c r="C3" t="s">
        <v>105</v>
      </c>
    </row>
    <row r="4" spans="1:3" x14ac:dyDescent="0.35">
      <c r="A4">
        <v>3</v>
      </c>
      <c r="B4" t="s">
        <v>106</v>
      </c>
      <c r="C4" t="s">
        <v>103</v>
      </c>
    </row>
    <row r="5" spans="1:3" x14ac:dyDescent="0.35">
      <c r="A5">
        <v>4</v>
      </c>
      <c r="B5" t="s">
        <v>107</v>
      </c>
      <c r="C5" t="s">
        <v>103</v>
      </c>
    </row>
    <row r="6" spans="1:3" x14ac:dyDescent="0.35">
      <c r="A6">
        <v>5</v>
      </c>
      <c r="B6" t="s">
        <v>108</v>
      </c>
      <c r="C6" t="s">
        <v>105</v>
      </c>
    </row>
    <row r="7" spans="1:3" x14ac:dyDescent="0.35">
      <c r="A7">
        <v>6</v>
      </c>
      <c r="B7" t="s">
        <v>109</v>
      </c>
      <c r="C7" t="s">
        <v>105</v>
      </c>
    </row>
    <row r="8" spans="1:3" x14ac:dyDescent="0.35">
      <c r="A8">
        <v>7</v>
      </c>
      <c r="B8" t="s">
        <v>110</v>
      </c>
      <c r="C8" t="s">
        <v>103</v>
      </c>
    </row>
    <row r="9" spans="1:3" x14ac:dyDescent="0.35">
      <c r="A9">
        <v>8</v>
      </c>
      <c r="B9" t="s">
        <v>111</v>
      </c>
      <c r="C9" t="s">
        <v>105</v>
      </c>
    </row>
    <row r="10" spans="1:3" x14ac:dyDescent="0.35">
      <c r="A10">
        <v>9</v>
      </c>
      <c r="B10" t="s">
        <v>112</v>
      </c>
      <c r="C10" t="s">
        <v>103</v>
      </c>
    </row>
    <row r="11" spans="1:3" x14ac:dyDescent="0.35">
      <c r="A11">
        <v>10</v>
      </c>
      <c r="B11" t="s">
        <v>113</v>
      </c>
      <c r="C11" t="s">
        <v>105</v>
      </c>
    </row>
    <row r="12" spans="1:3" x14ac:dyDescent="0.35">
      <c r="A12">
        <v>11</v>
      </c>
      <c r="B12" t="s">
        <v>114</v>
      </c>
      <c r="C12" t="s">
        <v>105</v>
      </c>
    </row>
    <row r="13" spans="1:3" x14ac:dyDescent="0.35">
      <c r="A13">
        <v>12</v>
      </c>
      <c r="B13" t="s">
        <v>115</v>
      </c>
      <c r="C13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E1A-232D-4503-8391-C7C7E2089AB5}">
  <dimension ref="A1:D6"/>
  <sheetViews>
    <sheetView workbookViewId="0"/>
  </sheetViews>
  <sheetFormatPr defaultRowHeight="14.5" x14ac:dyDescent="0.35"/>
  <cols>
    <col min="1" max="1" width="9.7265625" bestFit="1" customWidth="1"/>
    <col min="2" max="2" width="10.453125" bestFit="1" customWidth="1"/>
    <col min="3" max="3" width="6.36328125" bestFit="1" customWidth="1"/>
    <col min="4" max="4" width="15.90625" bestFit="1" customWidth="1"/>
  </cols>
  <sheetData>
    <row r="1" spans="1:4" x14ac:dyDescent="0.35">
      <c r="A1" t="s">
        <v>1</v>
      </c>
      <c r="B1" t="s">
        <v>116</v>
      </c>
      <c r="C1" t="s">
        <v>117</v>
      </c>
      <c r="D1" t="s">
        <v>118</v>
      </c>
    </row>
    <row r="2" spans="1:4" x14ac:dyDescent="0.35">
      <c r="A2" t="s">
        <v>6</v>
      </c>
      <c r="B2" t="s">
        <v>119</v>
      </c>
      <c r="C2" t="s">
        <v>120</v>
      </c>
      <c r="D2">
        <v>60</v>
      </c>
    </row>
    <row r="3" spans="1:4" x14ac:dyDescent="0.35">
      <c r="A3" t="s">
        <v>9</v>
      </c>
      <c r="B3" t="s">
        <v>121</v>
      </c>
      <c r="C3" t="s">
        <v>120</v>
      </c>
      <c r="D3">
        <v>60</v>
      </c>
    </row>
    <row r="4" spans="1:4" x14ac:dyDescent="0.35">
      <c r="A4" t="s">
        <v>17</v>
      </c>
      <c r="B4" t="s">
        <v>122</v>
      </c>
      <c r="C4" t="s">
        <v>120</v>
      </c>
      <c r="D4">
        <v>60</v>
      </c>
    </row>
    <row r="5" spans="1:4" x14ac:dyDescent="0.35">
      <c r="A5" t="s">
        <v>35</v>
      </c>
      <c r="B5" t="s">
        <v>123</v>
      </c>
      <c r="C5" t="s">
        <v>120</v>
      </c>
      <c r="D5">
        <v>60</v>
      </c>
    </row>
    <row r="6" spans="1:4" x14ac:dyDescent="0.35">
      <c r="A6" t="s">
        <v>40</v>
      </c>
      <c r="B6" t="s">
        <v>122</v>
      </c>
      <c r="C6" t="s">
        <v>124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8D1-1EE5-471D-B75F-DFFA4CB05F31}">
  <dimension ref="A1:C21"/>
  <sheetViews>
    <sheetView workbookViewId="0"/>
  </sheetViews>
  <sheetFormatPr defaultRowHeight="14.5" x14ac:dyDescent="0.35"/>
  <cols>
    <col min="1" max="1" width="15.7265625" bestFit="1" customWidth="1"/>
    <col min="2" max="2" width="14.90625" bestFit="1" customWidth="1"/>
    <col min="3" max="3" width="58.54296875" bestFit="1" customWidth="1"/>
  </cols>
  <sheetData>
    <row r="1" spans="1:3" x14ac:dyDescent="0.35">
      <c r="A1" t="s">
        <v>96</v>
      </c>
      <c r="B1" t="s">
        <v>97</v>
      </c>
      <c r="C1" t="s">
        <v>98</v>
      </c>
    </row>
    <row r="2" spans="1:3" x14ac:dyDescent="0.35">
      <c r="A2" t="s">
        <v>125</v>
      </c>
      <c r="B2" t="s">
        <v>126</v>
      </c>
      <c r="C2" t="s">
        <v>100</v>
      </c>
    </row>
    <row r="3" spans="1:3" x14ac:dyDescent="0.35">
      <c r="A3" t="s">
        <v>127</v>
      </c>
      <c r="B3" t="s">
        <v>58</v>
      </c>
      <c r="C3" t="s">
        <v>128</v>
      </c>
    </row>
    <row r="4" spans="1:3" x14ac:dyDescent="0.35">
      <c r="A4" t="s">
        <v>127</v>
      </c>
      <c r="B4" t="s">
        <v>0</v>
      </c>
      <c r="C4" t="s">
        <v>129</v>
      </c>
    </row>
    <row r="5" spans="1:3" x14ac:dyDescent="0.35">
      <c r="A5" t="s">
        <v>127</v>
      </c>
      <c r="B5" t="s">
        <v>1</v>
      </c>
      <c r="C5" t="s">
        <v>130</v>
      </c>
    </row>
    <row r="6" spans="1:3" x14ac:dyDescent="0.35">
      <c r="A6" t="s">
        <v>127</v>
      </c>
      <c r="B6" t="s">
        <v>2</v>
      </c>
      <c r="C6" t="s">
        <v>131</v>
      </c>
    </row>
    <row r="7" spans="1:3" x14ac:dyDescent="0.35">
      <c r="A7" t="s">
        <v>127</v>
      </c>
      <c r="B7" t="s">
        <v>3</v>
      </c>
      <c r="C7" t="s">
        <v>132</v>
      </c>
    </row>
    <row r="8" spans="1:3" x14ac:dyDescent="0.35">
      <c r="A8" t="s">
        <v>127</v>
      </c>
      <c r="B8" t="s">
        <v>4</v>
      </c>
      <c r="C8" t="s">
        <v>133</v>
      </c>
    </row>
    <row r="9" spans="1:3" x14ac:dyDescent="0.35">
      <c r="A9" t="s">
        <v>127</v>
      </c>
      <c r="B9" t="s">
        <v>5</v>
      </c>
      <c r="C9" t="s">
        <v>134</v>
      </c>
    </row>
    <row r="10" spans="1:3" x14ac:dyDescent="0.35">
      <c r="A10" t="s">
        <v>135</v>
      </c>
      <c r="B10" t="s">
        <v>58</v>
      </c>
      <c r="C10" t="s">
        <v>136</v>
      </c>
    </row>
    <row r="11" spans="1:3" x14ac:dyDescent="0.35">
      <c r="A11" t="s">
        <v>135</v>
      </c>
      <c r="B11" t="s">
        <v>1</v>
      </c>
      <c r="C11" t="s">
        <v>137</v>
      </c>
    </row>
    <row r="12" spans="1:3" x14ac:dyDescent="0.35">
      <c r="A12" t="s">
        <v>135</v>
      </c>
      <c r="B12" t="s">
        <v>116</v>
      </c>
      <c r="C12" t="s">
        <v>138</v>
      </c>
    </row>
    <row r="13" spans="1:3" x14ac:dyDescent="0.35">
      <c r="A13" t="s">
        <v>135</v>
      </c>
      <c r="B13" t="s">
        <v>117</v>
      </c>
      <c r="C13" t="s">
        <v>139</v>
      </c>
    </row>
    <row r="14" spans="1:3" x14ac:dyDescent="0.35">
      <c r="A14" t="s">
        <v>135</v>
      </c>
      <c r="B14" t="s">
        <v>118</v>
      </c>
      <c r="C14" t="s">
        <v>140</v>
      </c>
    </row>
    <row r="15" spans="1:3" x14ac:dyDescent="0.35">
      <c r="A15" t="s">
        <v>141</v>
      </c>
      <c r="B15" t="s">
        <v>58</v>
      </c>
      <c r="C15" t="s">
        <v>142</v>
      </c>
    </row>
    <row r="16" spans="1:3" x14ac:dyDescent="0.35">
      <c r="A16" t="s">
        <v>141</v>
      </c>
      <c r="B16" t="s">
        <v>2</v>
      </c>
      <c r="C16" t="s">
        <v>131</v>
      </c>
    </row>
    <row r="17" spans="1:3" x14ac:dyDescent="0.35">
      <c r="A17" t="s">
        <v>141</v>
      </c>
      <c r="B17" t="s">
        <v>143</v>
      </c>
      <c r="C17" t="s">
        <v>144</v>
      </c>
    </row>
    <row r="18" spans="1:3" x14ac:dyDescent="0.35">
      <c r="A18" t="s">
        <v>145</v>
      </c>
      <c r="B18" t="s">
        <v>58</v>
      </c>
      <c r="C18" t="s">
        <v>146</v>
      </c>
    </row>
    <row r="19" spans="1:3" x14ac:dyDescent="0.35">
      <c r="A19" t="s">
        <v>145</v>
      </c>
      <c r="B19" t="s">
        <v>99</v>
      </c>
      <c r="C19" t="s">
        <v>147</v>
      </c>
    </row>
    <row r="20" spans="1:3" x14ac:dyDescent="0.35">
      <c r="A20" t="s">
        <v>145</v>
      </c>
      <c r="B20" t="s">
        <v>100</v>
      </c>
      <c r="C20" t="s">
        <v>148</v>
      </c>
    </row>
    <row r="21" spans="1:3" x14ac:dyDescent="0.35">
      <c r="A21" t="s">
        <v>145</v>
      </c>
      <c r="B21" t="s">
        <v>101</v>
      </c>
      <c r="C21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43-224E-49EA-A2CE-733DF5CDAEC0}">
  <dimension ref="A1:E6"/>
  <sheetViews>
    <sheetView topLeftCell="A2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29.6328125" bestFit="1" customWidth="1"/>
    <col min="4" max="4" width="24.54296875" bestFit="1" customWidth="1"/>
    <col min="5" max="5" width="31.36328125" bestFit="1" customWidth="1"/>
  </cols>
  <sheetData>
    <row r="1" spans="1:5" x14ac:dyDescent="0.35">
      <c r="A1" s="4" t="s">
        <v>157</v>
      </c>
      <c r="B1" t="s">
        <v>159</v>
      </c>
      <c r="C1" t="s">
        <v>161</v>
      </c>
      <c r="D1" t="s">
        <v>160</v>
      </c>
      <c r="E1" t="s">
        <v>162</v>
      </c>
    </row>
    <row r="2" spans="1:5" x14ac:dyDescent="0.35">
      <c r="A2" s="5" t="s">
        <v>13</v>
      </c>
      <c r="B2">
        <v>11</v>
      </c>
      <c r="C2">
        <v>384</v>
      </c>
      <c r="D2">
        <v>1158</v>
      </c>
      <c r="E2" s="3">
        <v>70.972727272727269</v>
      </c>
    </row>
    <row r="3" spans="1:5" x14ac:dyDescent="0.35">
      <c r="A3" s="5" t="s">
        <v>18</v>
      </c>
      <c r="B3">
        <v>7</v>
      </c>
      <c r="C3">
        <v>207</v>
      </c>
      <c r="D3">
        <v>627</v>
      </c>
      <c r="E3" s="3">
        <v>70.118571428571428</v>
      </c>
    </row>
    <row r="4" spans="1:5" x14ac:dyDescent="0.35">
      <c r="A4" s="5" t="s">
        <v>22</v>
      </c>
      <c r="B4">
        <v>5</v>
      </c>
      <c r="C4">
        <v>207</v>
      </c>
      <c r="D4">
        <v>545.00000000000011</v>
      </c>
      <c r="E4" s="3">
        <v>64.033999999999992</v>
      </c>
    </row>
    <row r="5" spans="1:5" x14ac:dyDescent="0.35">
      <c r="A5" s="5" t="s">
        <v>7</v>
      </c>
      <c r="B5">
        <v>8</v>
      </c>
      <c r="C5">
        <v>332</v>
      </c>
      <c r="D5">
        <v>849.99999999999989</v>
      </c>
      <c r="E5" s="3">
        <v>63.2575</v>
      </c>
    </row>
    <row r="6" spans="1:5" x14ac:dyDescent="0.35">
      <c r="A6" s="5" t="s">
        <v>158</v>
      </c>
      <c r="B6">
        <v>31</v>
      </c>
      <c r="C6">
        <v>1130</v>
      </c>
      <c r="D6">
        <v>3180</v>
      </c>
      <c r="E6" s="3">
        <v>67.669677419354841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0534-9628-44B7-9EB9-8DD63101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 clean</vt:lpstr>
      <vt:lpstr>downtime clean</vt:lpstr>
      <vt:lpstr>Factors clean</vt:lpstr>
      <vt:lpstr>products clean</vt:lpstr>
      <vt:lpstr>Metadata clean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RINSHITHA SHIRIN K</dc:creator>
  <cp:lastModifiedBy>RINSHITHA SHIRIN K</cp:lastModifiedBy>
  <dcterms:created xsi:type="dcterms:W3CDTF">2015-06-05T18:17:20Z</dcterms:created>
  <dcterms:modified xsi:type="dcterms:W3CDTF">2026-10-04T17:30:29Z</dcterms:modified>
</cp:coreProperties>
</file>